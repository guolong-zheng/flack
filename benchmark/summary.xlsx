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olongzheng/Desktop/alloy-finder/benchmark/"/>
    </mc:Choice>
  </mc:AlternateContent>
  <xr:revisionPtr revIDLastSave="0" documentId="13_ncr:1_{AB2FB5B8-EEA6-EE44-9A3D-F3A064FD72AA}" xr6:coauthVersionLast="36" xr6:coauthVersionMax="36" xr10:uidLastSave="{00000000-0000-0000-0000-000000000000}"/>
  <bookViews>
    <workbookView xWindow="1480" yWindow="460" windowWidth="28040" windowHeight="16320" activeTab="3" xr2:uid="{F7B8C77C-B703-2F4C-92E3-D3B76F4809F9}"/>
  </bookViews>
  <sheets>
    <sheet name="Sheet1" sheetId="1" r:id="rId1"/>
    <sheet name="Sheet3" sheetId="3" r:id="rId2"/>
    <sheet name="Sheet4" sheetId="4" r:id="rId3"/>
    <sheet name="Sheet5" sheetId="5" r:id="rId4"/>
    <sheet name="Sheet2" sheetId="2" r:id="rId5"/>
    <sheet name="Sheet6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8" i="5" l="1"/>
  <c r="I158" i="5"/>
  <c r="K161" i="5"/>
  <c r="G158" i="6"/>
  <c r="D158" i="6"/>
  <c r="G161" i="5"/>
  <c r="H158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20" i="5"/>
  <c r="H21" i="5"/>
  <c r="H22" i="5"/>
  <c r="H23" i="5"/>
  <c r="H24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40" i="5"/>
  <c r="H41" i="5"/>
  <c r="H42" i="5"/>
  <c r="H43" i="5"/>
  <c r="H44" i="5"/>
  <c r="H46" i="5"/>
  <c r="H47" i="5"/>
  <c r="H48" i="5"/>
  <c r="H49" i="5"/>
  <c r="H50" i="5"/>
  <c r="H51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3" i="5"/>
  <c r="H4" i="5"/>
  <c r="H2" i="5"/>
  <c r="K160" i="5"/>
  <c r="G160" i="5"/>
  <c r="K157" i="5"/>
  <c r="K156" i="5"/>
  <c r="G157" i="5"/>
  <c r="G156" i="5"/>
  <c r="G155" i="5"/>
  <c r="K155" i="5"/>
  <c r="K158" i="5"/>
  <c r="G158" i="5"/>
  <c r="K159" i="5"/>
  <c r="G159" i="5"/>
  <c r="F157" i="6"/>
  <c r="C157" i="6"/>
  <c r="F156" i="6"/>
  <c r="C156" i="6"/>
  <c r="F155" i="6"/>
  <c r="C155" i="6"/>
  <c r="F154" i="6"/>
  <c r="C154" i="6"/>
  <c r="G153" i="6"/>
  <c r="F153" i="6"/>
  <c r="D153" i="6"/>
  <c r="C153" i="6"/>
  <c r="G152" i="6"/>
  <c r="F152" i="6"/>
  <c r="D152" i="6"/>
  <c r="C152" i="6"/>
  <c r="D162" i="3"/>
  <c r="D161" i="3"/>
  <c r="G162" i="3"/>
  <c r="G161" i="3"/>
  <c r="F165" i="3"/>
  <c r="F164" i="3"/>
  <c r="F163" i="3"/>
  <c r="F162" i="3"/>
  <c r="F161" i="3"/>
  <c r="C165" i="3"/>
  <c r="C164" i="3"/>
  <c r="C163" i="3"/>
  <c r="C162" i="3"/>
  <c r="C161" i="3"/>
</calcChain>
</file>

<file path=xl/sharedStrings.xml><?xml version="1.0" encoding="utf-8"?>
<sst xmlns="http://schemas.openxmlformats.org/spreadsheetml/2006/main" count="1305" uniqueCount="463">
  <si>
    <t>addr1</t>
  </si>
  <si>
    <t>diff</t>
  </si>
  <si>
    <t>cause</t>
  </si>
  <si>
    <t>template</t>
  </si>
  <si>
    <t>#listed = 0
#listed = 1</t>
  </si>
  <si>
    <t>lone</t>
  </si>
  <si>
    <t>#R change from 0 to 1(or greater than 1) and there is lone or one or some, change lone, one, some</t>
  </si>
  <si>
    <t>arr1</t>
  </si>
  <si>
    <t>trivial bug</t>
  </si>
  <si>
    <t>arr2</t>
  </si>
  <si>
    <t>#Element remain same
Array.length = 7
Array.length = 0</t>
  </si>
  <si>
    <t>Array.length = #Element</t>
  </si>
  <si>
    <t>Integer problems
change #Element</t>
  </si>
  <si>
    <t>bst1</t>
  </si>
  <si>
    <t>Changes in value of Depth
Depth[n] = 0
Depth[n] = 1</t>
  </si>
  <si>
    <t xml:space="preserve">#(n.^~(left+right) should change ^ to *
or add 1 </t>
  </si>
  <si>
    <t>find that it is always 1 value less, add 1 to result</t>
  </si>
  <si>
    <t>bst2.1</t>
  </si>
  <si>
    <t>n.left.right.left.elem &gt; n.left.elem
n.left.right.left.elem &lt; n.left.elem</t>
  </si>
  <si>
    <t>missing a qualtified expression
all n : Node | some n.left =&gt; n.left.elem &lt; n.elem
all n : Node | all nl : n.left.*(left+right) | nl.elem &lt; n.elem</t>
  </si>
  <si>
    <t>find out the faulty expression only mention one variable where the relation is between two
get a template like: all x: X | all y: Y | x.elem &lt; Y.elem</t>
  </si>
  <si>
    <t>bst2.2</t>
  </si>
  <si>
    <t xml:space="preserve">Depth[n] </t>
  </si>
  <si>
    <t>(#BinaryTree.root.*(left+right)) - (#n.*(left+right)) to
#{n.*~(left+right)}</t>
  </si>
  <si>
    <t>hard to find a template</t>
  </si>
  <si>
    <t>bst2.3</t>
  </si>
  <si>
    <t>fix is too comlicated, skip for now</t>
  </si>
  <si>
    <t>lone (#n1.(left+right) - #n2.(left+right))</t>
  </si>
  <si>
    <t>lone (#n1.(left+right) - #n2.(left+right))
to
 (HasAtMostOneChild[n1] &amp;&amp; HasAtMostOneChild[n2]) =&gt; (let diff = minus[Depth[n1], Depth[n2]] | -1 &lt;= diff &amp;&amp; diff &lt;= 1)</t>
  </si>
  <si>
    <t>bst3.1</t>
  </si>
  <si>
    <t>see bst2.1</t>
  </si>
  <si>
    <t>bst3.2</t>
  </si>
  <si>
    <t>&lt;=&gt; to =&gt;</t>
  </si>
  <si>
    <t>left &lt;=&gt; right, left change from false to true, change &lt;=&gt; to =&gt;</t>
  </si>
  <si>
    <t>bempl1</t>
  </si>
  <si>
    <t>no Employee.owns</t>
  </si>
  <si>
    <t>missing constraint 'no Employee.owns'</t>
  </si>
  <si>
    <t xml:space="preserve">fl need to identify a statement missing, and fix is to add </t>
  </si>
  <si>
    <t>cd1.1</t>
  </si>
  <si>
    <t>object ext class
no object ext class</t>
  </si>
  <si>
    <t>one way is mutation to add ~; the other way is using template for bst2.1</t>
  </si>
  <si>
    <t>Object !in c.^ext change to 
Object !in c.~^ext or use template for bst2.1, add all c : Class | all o: Object | c !in o.ext</t>
  </si>
  <si>
    <t>cd1.2</t>
  </si>
  <si>
    <t xml:space="preserve">no Class - Object ext </t>
  </si>
  <si>
    <t>c in c.*ext  to Object in c.*ext</t>
  </si>
  <si>
    <t>cd2</t>
  </si>
  <si>
    <t>form a circle
no circle</t>
  </si>
  <si>
    <t>no c : Class | c = c.ext</t>
  </si>
  <si>
    <t xml:space="preserve">underconstraint, acyclic =&gt; no c : Class | c = c.ext, replace no c : Class | c = c.ext with acyclic
or use template to find no c : Class | c in c.^ext </t>
  </si>
  <si>
    <t>ctree1</t>
  </si>
  <si>
    <t>no self loop</t>
  </si>
  <si>
    <t>missing constraint 'no iden &amp; neighbors'</t>
  </si>
  <si>
    <t>directly add missing constraints, this can be done by checking predefined properties</t>
  </si>
  <si>
    <t>dll1.1</t>
  </si>
  <si>
    <t>n.nxt sat
no n.nxt unsat</t>
  </si>
  <si>
    <t>n.elem  &lt;= n.nxt.elem
some n.nxt =&gt; n.elem &lt;= n.nxt.elem</t>
  </si>
  <si>
    <t>find constraint 'some n.nxt' diffs sat node and unsat node, then add some n.nxt before implies</t>
  </si>
  <si>
    <t>dll1.2</t>
  </si>
  <si>
    <t>self loop on pre</t>
  </si>
  <si>
    <t>n1 != n2  =&gt; {n1.nxt = n2 &lt;=&gt; n2.pre = n1}
{n1.nxt = n2 &lt;=&gt; n2.pre = n1}</t>
  </si>
  <si>
    <t xml:space="preserve">need to prevent self loop along pre, directly add acyclic fix the problem
or delete n1 != n2 </t>
  </si>
  <si>
    <t>dll2.1</t>
  </si>
  <si>
    <t>see dll1.1</t>
  </si>
  <si>
    <t>dll2.2</t>
  </si>
  <si>
    <t>see dll1.2</t>
  </si>
  <si>
    <t>dll3.1</t>
  </si>
  <si>
    <t>overconstraint, need tests to locate and fix</t>
  </si>
  <si>
    <t>dll3.2</t>
  </si>
  <si>
    <t>too complicated, becomes a synthesis problem</t>
  </si>
  <si>
    <t>dll3.3</t>
  </si>
  <si>
    <t>dll4</t>
  </si>
  <si>
    <t>fsm1.1</t>
  </si>
  <si>
    <t xml:space="preserve">=&gt;' to '&lt;=&gt;' </t>
  </si>
  <si>
    <t>similar as bst3.2, left change from true to false, chane =&gt; to &lt;=&gt;</t>
  </si>
  <si>
    <t>fsm1.2</t>
  </si>
  <si>
    <t>also see bst3.2</t>
  </si>
  <si>
    <t>fsm2</t>
  </si>
  <si>
    <t>use mutation to fix</t>
  </si>
  <si>
    <t>grade1</t>
  </si>
  <si>
    <t>no s.assistant_for</t>
  </si>
  <si>
    <t>missing 's !in a.assigned_to'</t>
  </si>
  <si>
    <t>use a template, basically find the most constraint for the missing relation
 with conditions 's in Student and s in a.assigned_to implies s !in a.associated_with.assistant_for'</t>
  </si>
  <si>
    <t>other1</t>
  </si>
  <si>
    <t>change alas in seclab.located_in and peds in seclb.located_in to 
alas + ped = seclab.located_in 
or
add 'all g: Group - alas - peds | g !in seclab.located_in</t>
  </si>
  <si>
    <t>template is similar as grade1</t>
  </si>
  <si>
    <t>missing constraint, similar as grade1</t>
  </si>
  <si>
    <t>stu1</t>
  </si>
  <si>
    <t>stu2.1</t>
  </si>
  <si>
    <t>stu2.2</t>
  </si>
  <si>
    <t>may need tests to loc and fix, predicate couldn't provide usefull instance</t>
  </si>
  <si>
    <t>stu3.1</t>
  </si>
  <si>
    <t>stu3.2</t>
  </si>
  <si>
    <t>stu4</t>
  </si>
  <si>
    <t>stu5</t>
  </si>
  <si>
    <t>stu6.1</t>
  </si>
  <si>
    <t>stu6.2</t>
  </si>
  <si>
    <t>stu7.1</t>
  </si>
  <si>
    <t>stu7.2</t>
  </si>
  <si>
    <t>stu8</t>
  </si>
  <si>
    <t>stu9</t>
  </si>
  <si>
    <t>stu10</t>
  </si>
  <si>
    <t>stu11</t>
  </si>
  <si>
    <t>stu12.1</t>
  </si>
  <si>
    <t>stu12.2</t>
  </si>
  <si>
    <t>stu13</t>
  </si>
  <si>
    <t>stu14.1</t>
  </si>
  <si>
    <t>stu14.2</t>
  </si>
  <si>
    <t>stu15</t>
  </si>
  <si>
    <t>stu16</t>
  </si>
  <si>
    <t>stu17.1</t>
  </si>
  <si>
    <t>stu17.2</t>
  </si>
  <si>
    <t>stu18.1</t>
  </si>
  <si>
    <t>stu18.2</t>
  </si>
  <si>
    <t>stu18.3</t>
  </si>
  <si>
    <t>stu19.1</t>
  </si>
  <si>
    <t>stu19.2</t>
  </si>
  <si>
    <t>too complicated</t>
  </si>
  <si>
    <t>xxxxxxxxx</t>
  </si>
  <si>
    <t>also see fsm1.1</t>
  </si>
  <si>
    <t>left and right of &lt;=&gt; changes</t>
  </si>
  <si>
    <t>change all to some</t>
  </si>
  <si>
    <t>use a template that all elem sat v.s some elem sat, then change quatifier</t>
  </si>
  <si>
    <t>n.link in n to n.link = n</t>
  </si>
  <si>
    <t>no self loop
should self loop</t>
  </si>
  <si>
    <t>fix using mutation or add n in n.link</t>
  </si>
  <si>
    <t>add  "or no This.header "</t>
  </si>
  <si>
    <t>cex only generate an empty list, which should also be a valid instance</t>
  </si>
  <si>
    <t>need to think more</t>
  </si>
  <si>
    <t>all preds are empty, completely a synthsis problem</t>
  </si>
  <si>
    <t>see stu14.2</t>
  </si>
  <si>
    <t>similar as dll1.1, but a little different</t>
  </si>
  <si>
    <t>template seems hard to define</t>
  </si>
  <si>
    <t>too complicat to fix</t>
  </si>
  <si>
    <t>xxxxxxxxxx</t>
  </si>
  <si>
    <t>error type</t>
  </si>
  <si>
    <t># from 0 to 1</t>
  </si>
  <si>
    <t># equal to #</t>
  </si>
  <si>
    <t># change</t>
  </si>
  <si>
    <t>&gt; to &lt; for partial element</t>
  </si>
  <si>
    <t># change from some to 0</t>
  </si>
  <si>
    <t>self loop</t>
  </si>
  <si>
    <t xml:space="preserve">last node of a list </t>
  </si>
  <si>
    <t>addr</t>
  </si>
  <si>
    <t>addrFaulty</t>
  </si>
  <si>
    <t>arr10</t>
  </si>
  <si>
    <t>arr11</t>
  </si>
  <si>
    <t>arr3</t>
  </si>
  <si>
    <t>arr4</t>
  </si>
  <si>
    <t>arr5</t>
  </si>
  <si>
    <t>arr6</t>
  </si>
  <si>
    <t>arr7</t>
  </si>
  <si>
    <t>arr8</t>
  </si>
  <si>
    <t>arr9</t>
  </si>
  <si>
    <t>balancedBST1</t>
  </si>
  <si>
    <t>balancedBST10</t>
  </si>
  <si>
    <t>balancedBST11</t>
  </si>
  <si>
    <t>balancedBST12</t>
  </si>
  <si>
    <t>balancedBST13</t>
  </si>
  <si>
    <t>balancedBST14</t>
  </si>
  <si>
    <t>balancedBST15</t>
  </si>
  <si>
    <t>balancedBST16</t>
  </si>
  <si>
    <t>balancedBST17</t>
  </si>
  <si>
    <t>balancedBST18</t>
  </si>
  <si>
    <t>balancedBST19</t>
  </si>
  <si>
    <t>balancedBST2</t>
  </si>
  <si>
    <t>balancedBST20</t>
  </si>
  <si>
    <t>balancedBST21</t>
  </si>
  <si>
    <t>balancedBST22</t>
  </si>
  <si>
    <t>balancedBST3</t>
  </si>
  <si>
    <t>balancedBST4</t>
  </si>
  <si>
    <t>balancedBST5</t>
  </si>
  <si>
    <t>balancedBST6</t>
  </si>
  <si>
    <t>balancedBST7</t>
  </si>
  <si>
    <t>balancedBST8</t>
  </si>
  <si>
    <t>balancedBST9</t>
  </si>
  <si>
    <t>bemplFaulty</t>
  </si>
  <si>
    <t>cd1</t>
  </si>
  <si>
    <t>cd3</t>
  </si>
  <si>
    <t>ctreeFaulty</t>
  </si>
  <si>
    <t>dll1</t>
  </si>
  <si>
    <t>dll10</t>
  </si>
  <si>
    <t>dll11</t>
  </si>
  <si>
    <t>dll12</t>
  </si>
  <si>
    <t>dll13</t>
  </si>
  <si>
    <t>dll14</t>
  </si>
  <si>
    <t>dll15</t>
  </si>
  <si>
    <t>dll16</t>
  </si>
  <si>
    <t>dll17</t>
  </si>
  <si>
    <t>dll18</t>
  </si>
  <si>
    <t>dll19</t>
  </si>
  <si>
    <t>dll2</t>
  </si>
  <si>
    <t>dll20</t>
  </si>
  <si>
    <t>dll3</t>
  </si>
  <si>
    <t>dll5</t>
  </si>
  <si>
    <t>dll6</t>
  </si>
  <si>
    <t>dll7</t>
  </si>
  <si>
    <t>dll8</t>
  </si>
  <si>
    <t>dll9</t>
  </si>
  <si>
    <t>fsm1</t>
  </si>
  <si>
    <t>fsm3</t>
  </si>
  <si>
    <t>fsm4</t>
  </si>
  <si>
    <t>fsm5</t>
  </si>
  <si>
    <t>fsm6</t>
  </si>
  <si>
    <t>fsm7</t>
  </si>
  <si>
    <t>fsm8</t>
  </si>
  <si>
    <t>fsm9</t>
  </si>
  <si>
    <t>gradeFaulty</t>
  </si>
  <si>
    <t>otherFaulty</t>
  </si>
  <si>
    <t>student1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</si>
  <si>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</si>
  <si>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</si>
  <si>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</si>
  <si>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</si>
  <si>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</si>
  <si>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</si>
  <si>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</si>
  <si>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</si>
  <si>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</si>
  <si>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</si>
  <si>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</si>
  <si>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</si>
  <si>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</si>
  <si>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</si>
  <si>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</si>
  <si>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</si>
  <si>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</si>
  <si>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</si>
  <si>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arr2_1</t>
  </si>
  <si>
    <t>arr7_1</t>
  </si>
  <si>
    <t>balancedBST2_1</t>
  </si>
  <si>
    <t>balancedBST2_2</t>
  </si>
  <si>
    <t>balancedBST2_3</t>
  </si>
  <si>
    <t>balancedBST3_1</t>
  </si>
  <si>
    <t>balancedBST3_2</t>
  </si>
  <si>
    <t>balancedBST4_1</t>
  </si>
  <si>
    <t>balancedBST4_2</t>
  </si>
  <si>
    <t>balancedBST8_1</t>
  </si>
  <si>
    <t>balancedBST8_2</t>
  </si>
  <si>
    <t>balancedBST10_1</t>
  </si>
  <si>
    <t>balancedBST10_2</t>
  </si>
  <si>
    <t>balancedBST10_3</t>
  </si>
  <si>
    <t>balancedBST11_1</t>
  </si>
  <si>
    <t>balancedBST12_1</t>
  </si>
  <si>
    <t>balancedBST17_1</t>
  </si>
  <si>
    <t>balancedBST17_2</t>
  </si>
  <si>
    <t>balancedBST18_1</t>
  </si>
  <si>
    <t>balancedBST19_1</t>
  </si>
  <si>
    <t>balancedBST19_2</t>
  </si>
  <si>
    <t>balancedBST20_1</t>
  </si>
  <si>
    <t>balancedBST22_1</t>
  </si>
  <si>
    <t>balancedBST22_2</t>
  </si>
  <si>
    <t>balancedBST22_3</t>
  </si>
  <si>
    <t>cd1_1</t>
  </si>
  <si>
    <t>dll1_1</t>
  </si>
  <si>
    <t>dll3_1</t>
  </si>
  <si>
    <t>dll3_2</t>
  </si>
  <si>
    <t>dll5_1</t>
  </si>
  <si>
    <t>dll6_1</t>
  </si>
  <si>
    <t>dll7_1</t>
  </si>
  <si>
    <t>dll14_1</t>
  </si>
  <si>
    <t>dll15_1</t>
  </si>
  <si>
    <t>dll17_1</t>
  </si>
  <si>
    <t>dll17_2</t>
  </si>
  <si>
    <t>dll18_1</t>
  </si>
  <si>
    <t>dll18_2</t>
  </si>
  <si>
    <t>dll18_3</t>
  </si>
  <si>
    <t>dll20_1</t>
  </si>
  <si>
    <t>dll20_2</t>
  </si>
  <si>
    <t>fsm1_1</t>
  </si>
  <si>
    <t>fsm4_1</t>
  </si>
  <si>
    <t>fsm5_1</t>
  </si>
  <si>
    <t>fsm5_2</t>
  </si>
  <si>
    <t>fsm7_1</t>
  </si>
  <si>
    <t>fsm9_1</t>
  </si>
  <si>
    <t>fsm9_2</t>
  </si>
  <si>
    <t>fsm9_3</t>
  </si>
  <si>
    <t>fsm9_4</t>
  </si>
  <si>
    <t>student2_1</t>
  </si>
  <si>
    <t>student3_1</t>
  </si>
  <si>
    <t>student6_1</t>
  </si>
  <si>
    <t>student6_2</t>
  </si>
  <si>
    <t>student6_3</t>
  </si>
  <si>
    <t>student7_1</t>
  </si>
  <si>
    <t>student12_1</t>
  </si>
  <si>
    <t>student14_1</t>
  </si>
  <si>
    <t>student14_2</t>
  </si>
  <si>
    <t>student14_3</t>
  </si>
  <si>
    <t>student16_1</t>
  </si>
  <si>
    <t>student16_2</t>
  </si>
  <si>
    <t>student16_3</t>
  </si>
  <si>
    <t>student17_1</t>
  </si>
  <si>
    <t>student18_1</t>
  </si>
  <si>
    <t>student18_2</t>
  </si>
  <si>
    <t>student19_1</t>
  </si>
  <si>
    <t>student19_2</t>
  </si>
  <si>
    <t>r/t</t>
  </si>
  <si>
    <t>time</t>
  </si>
  <si>
    <t>cd3_1</t>
  </si>
  <si>
    <t>dll2_1</t>
  </si>
  <si>
    <t>fault line</t>
  </si>
  <si>
    <t>all i:Int
all i:Int |i&gt;=0 and i&lt;Array.length</t>
  </si>
  <si>
    <t>lone b.listed[n]
all b:Book | all n:b.entry | lone b.listed[n]</t>
  </si>
  <si>
    <t>#Array.i2e[i] = 1
all i:Array.i2e.Element | #Array.i2e[i] = 1</t>
  </si>
  <si>
    <t>lone Array.i2e[Int]</t>
  </si>
  <si>
    <t>i &gt; 0
all i:Element.~(Array.i2e) | i &gt; 0 &amp;&amp; i &lt; Array.length</t>
  </si>
  <si>
    <t>Array.length &gt;= 0
all x: Int | (x &gt;= 0 and x &lt; Array.length and Array.length &gt;= 0) or no Array.i2e[x]</t>
  </si>
  <si>
    <t>length[Array] = #(Element)</t>
  </si>
  <si>
    <t>lone i2e.Element</t>
  </si>
  <si>
    <t>all idx1, idx2 : Array.i2e.Element | idx1 != idx2 =&gt; Array.i2e[idx1] != Array.i2e[idx2]</t>
  </si>
  <si>
    <t>i&gt;0 or i=0
all e:Element, i:Int | i-&gt;e in Array.i2e =&gt; (i&gt;0 and i &lt; Array.length) or (i = 0)</t>
  </si>
  <si>
    <t>all i:Int
all i:Int | i&gt;=0 and i&lt;Array.length</t>
  </si>
  <si>
    <t>m &lt;= Array.length
all a: Array, m: Int, n: Element | m -&gt; n in a.i2e implies m &gt;= 0 and m &lt;= Array.length</t>
  </si>
  <si>
    <t>^~(left+right)
#(n.^~(left + right))</t>
  </si>
  <si>
    <t>some n.left =&gt;n.left.elem&lt;n.elem</t>
  </si>
  <si>
    <t>some n.right =&gt;n.right.elem&gt;n.elem</t>
  </si>
  <si>
    <t>(#BinaryTree.root.*(left+right))-(#n.(left+right))</t>
  </si>
  <si>
    <t>all n2:n.^left
all n2:n.^left | n2.elem &lt; n.elem</t>
  </si>
  <si>
    <t>all n2:n.^right
all n2:n.^right | n2.elem &gt; n.elem</t>
  </si>
  <si>
    <t>&lt;=&gt;
all n1, n2: Node {
    (HasAtMostOneChild[n1] &amp;&amp; HasAtMostOneChild[n2]) &lt;=&gt; (mul[signum[minus[Depth[n1], Depth[n2]]], minus[Depth[n1], Depth[n2]]] &lt;= 1)
  }</t>
  </si>
  <si>
    <t>fun Depth(n: Node): one Int { // Fix: #{n.*~(left + right)}
0 }</t>
  </si>
  <si>
    <t>pred HasAtMostOneChild(n: Node) { // Fix: no n.left || no n.right
}</t>
  </si>
  <si>
    <t>all n1, n2: Node {
        // Fix: replace a-b with minus[a,b]
	HasAtMostOneChild[n1] and HasAtMostOneChild[n2] =&gt; ((Depth[n1] - Depth[n2] &gt;= -1) and (Depth[n1] - Depth[n2] &lt;=1))  
	}</t>
  </si>
  <si>
    <t>^
#(n.^~(left+right))</t>
  </si>
  <si>
    <t>all n1, n2: Node {
    // Fix: Replace a-b with minus[a,b]
    ((HasAtMostOneChild[n1]) and (HasAtMostOneChild[n2])) =&gt; ((Depth[n1] - Depth[n2] &lt; 2) &amp;&amp; (Depth[n1] - Depth[n2] &gt; -2))
  }</t>
  </si>
  <si>
    <t>^
#(n.~^(left+right))</t>
  </si>
  <si>
    <t>all x: n.left.elem
all x: n.left.elem | x &lt; n.elem</t>
  </si>
  <si>
    <t>all x: n.right.elem
all x: n.right.elem | x &gt; n.elem</t>
  </si>
  <si>
    <t>^
#n.~^(left + right)</t>
  </si>
  <si>
    <t>#~left + #~right &lt;= 1</t>
  </si>
  <si>
    <t>n.left != n.right iff #n.(left + right) &gt; 0</t>
  </si>
  <si>
    <t>^
#(n.^~(left + right))</t>
  </si>
  <si>
    <t>all n1, n2: Node {
    // Fix: (HasAtMostOneChild[n1] &amp;&amp; HasAtMostOneChild[n2]) =&gt; (let diff = minus[Depth[n1], Depth[n2]] | -1 &lt;= diff &amp;&amp; diff &lt;= 1)
	(Depth[n1] - Depth[n2] &lt;= 1) or (#(Depth[n1] - Depth[n2]) = 0) iff (HasAtMostOneChild[n1] and HasAtMostOneChild[n2] and (Depth[n1] &gt;= Depth[n2]))
  }</t>
  </si>
  <si>
    <t>pred HasAtMostOneChild(n: Node) {
  // Fix: no n.left || no n.right
}</t>
  </si>
  <si>
    <t>fun Depth(n: Node): one Int {
  // Fix: #{n.*~(left + right)}
  0
}</t>
  </si>
  <si>
    <t>// Fix: remove "all n: Node |"
  all n: Node | lone (n.left+n.right)</t>
  </si>
  <si>
    <t>all n1, n2: Node {
    #n1.left.^(left+right) &lt;= #n1.right.^(left+right) + 1
    #n2.right.^(left+right) &lt;= #n2.left.^(left+right) + 1
  }</t>
  </si>
  <si>
    <t>all n1, n2: Node {
    // Fix: replace a-b with minus[a,b], and a+b with plus[a,b]
    n1=n2 || {
      HasAtMostOneChild[n1] &amp;&amp; HasAtMostOneChild[n2] implies {
      Depth[n1] = Depth[n2] ||
      Depth[n1] - 1 = Depth[n2] ||
      Depth[n1] + 1 = Depth[n2]
      }}}</t>
  </si>
  <si>
    <t>^
# n.^(left + right) &lt;= 1</t>
  </si>
  <si>
    <t>^
# n.^(~(left + right))</t>
  </si>
  <si>
    <t xml:space="preserve">HasAtMostOneChild[n1] and HasAtMostOneChild[n2] =&gt; Depth[n1] - Depth[n2] &lt;= 1 </t>
  </si>
  <si>
    <t>all p0: Node, p1:Node | n = p0.(left+right) and p0 != p1 =&gt; (n != p1.left) and (n != p1.right)</t>
  </si>
  <si>
    <t>^
lone n.^(left+right)</t>
  </si>
  <si>
    <t>#(root.n.*(left+right))</t>
  </si>
  <si>
    <t>#n1.^(left+right) &lt;= #n2.^(left+right) + 1</t>
  </si>
  <si>
    <t>^
#n.~^(left+right)</t>
  </si>
  <si>
    <t>HasAtMostOneChild[n1] and HasAtMostOneChild[n2] =&gt; Depth[n1] - Depth[n2] &gt;= -1 and Depth[n1] - Depth[n2] =&lt; 1</t>
  </si>
  <si>
    <t>^
#{n1: Node | n in n1.^(left + right)}</t>
  </si>
  <si>
    <t>all n2, n3: Node | n3 in n2.(left + right) implies n3 !in n.(left + right)</t>
  </si>
  <si>
    <t>all n2: Node | n2 = n.left implies n2 != n.right and n2 = n.right implies n2 != n.left</t>
  </si>
  <si>
    <t>fun Depth(n: Node): one Int {
        // Fix: use #{n.*~(left + right)}
	1
}</t>
  </si>
  <si>
    <t>HasAtMostOneChild[n1] and HasAtMostOneChild[n2] implies Depth[n1] - Depth[n2] = 1 or Depth[n1] - Depth[n2] = 0 or Depth[n1] - Depth[n2] = -1</t>
  </si>
  <si>
    <t>// Fix: move field declaration to Researcher sig or add fact stating "no Employee.owns".</t>
  </si>
  <si>
    <t>all c: Class | Object !in c.^ext</t>
  </si>
  <si>
    <t>c.^ext
all c: Class | Object !in c.^ext</t>
  </si>
  <si>
    <t>all c: Class - Object | c in c.*ext</t>
  </si>
  <si>
    <t>no c: Class | c = c.ext</t>
  </si>
  <si>
    <t>all c: Class - Object | Object in c.ext.^ext</t>
  </si>
  <si>
    <t>// Fix: add "no iden &amp; neighbors".</t>
  </si>
  <si>
    <t>all n : Node | n.elem &lt;= n.nxt.elem</t>
  </si>
  <si>
    <t>all n1, n2 : Node | n1 != n2 =&gt;{ n1.nxt = n2 &lt;=&gt; n2.pre = n1 }</t>
  </si>
  <si>
    <t>all n: Node { n.elem &lt; n.nxt.elem }</t>
  </si>
  <si>
    <t>"=&gt;"
all n1, n2: Node { n1.nxt = n2 =&gt; n2.pre = n1 }</t>
  </si>
  <si>
    <t>n not in n.^(nxt+pre)</t>
  </si>
  <si>
    <t>all n:Node | n.pre.elem &amp; n.nxt.elem = none</t>
  </si>
  <si>
    <t>pred ConsistentPreAndNxt() { // Fix: add "nxt = ~pre" }</t>
  </si>
  <si>
    <t>all n:Node { n.nxt.elem &gt; n.elem }</t>
  </si>
  <si>
    <t>n1.*nxt.elem
all n1, n2: Node | n1 = n2 or n1.*nxt.elem != n2.*nxt.elem</t>
  </si>
  <si>
    <t>all n: Node | all n': n.nxt.*nxt.elem | n' &gt; n.elem</t>
  </si>
  <si>
    <t>all n1: DLL.header.*nxt| n1.elem &lt;= n1.nxt.elem</t>
  </si>
  <si>
    <t>all n1: DLL.header.*nxt, n2: DLL.header.*nxt | n1 = n2 or n1.nxt = n2 &lt;=&gt; n2.pre = n1
all n1: DLL.header.*nxt | n1.pre != n1</t>
  </si>
  <si>
    <t>// Fix: Remove constraint on pre.
all n:Node | n !in n.^pre</t>
  </si>
  <si>
    <t>all n: Node | n.elem&lt;=n.nxt.elem</t>
  </si>
  <si>
    <t>all n: DLL.header.*nxt | n.elem &lt;= n.^nxt.elem</t>
  </si>
  <si>
    <t>#Node.pre &lt;= #Node.nxt</t>
  </si>
  <si>
    <t>all n: Node { n not in n.^nxt
    // Fix: delete "n not in n.^pre"
    n not in n.^pre }</t>
  </si>
  <si>
    <t>all n: DLL.header.*nxt | n.elem &lt; n.nxt.elem</t>
  </si>
  <si>
    <t>all n: Node |  n.elem &lt;= n.nxt.elem</t>
  </si>
  <si>
    <t>all n:Node | one n.elem</t>
  </si>
  <si>
    <t>// Fix: remove "all n : Node | n ! in n.^pre"
all n : Node | n ! in n.^pre</t>
  </si>
  <si>
    <t>n1 != n2 implies
all n1, n2: DLL.header.*nxt |
  n1 != n2 implies
  ((n1.nxt = n2 implies n2.pre = n1)
  and (n1.pre = n2 implies n2.nxt = n1))</t>
  </si>
  <si>
    <t>all n: Node |  n.elem =&lt; n.nxt.elem</t>
  </si>
  <si>
    <t>all n : Node | n !in n.^nxt and n !in n.^pre</t>
  </si>
  <si>
    <t>&lt;=&gt;
all n1, n2 : Node | n1.nxt = n2 =&gt; n2.pre = n1</t>
  </si>
  <si>
    <t>no n: Node | n = n.nxt</t>
  </si>
  <si>
    <t>all i: Int, n1,n2:Node.elem | i=n1 and i=n2 implies n1=n2</t>
  </si>
  <si>
    <t>all i1,i2: Int, n1,n2: Node | n1.nxt.elem = i1 and n2.nxt.elem = i2 implies i1&lt;i2 and n1.nxt = n2</t>
  </si>
  <si>
    <t>all n1,n2: Node | n1.nxt = n2 =&gt; n2.pre = n1</t>
  </si>
  <si>
    <t>n1.elem &lt; n2.elem
all n1, n2: Node | (n2 in n1.^nxt) implies (n1.elem &lt; n2.elem) 
}</t>
  </si>
  <si>
    <t>all n: DLL.header.*nxt | n !in n.^(pre + nxt)</t>
  </si>
  <si>
    <t>n1.elem &lt; n2.elem
all n1, n2: Node | n2 in n1.^nxt implies n1.elem &lt; n2.elem
}</t>
  </si>
  <si>
    <t>all s: State | s.transition !in FSM.start</t>
  </si>
  <si>
    <t>"=&gt;"
all s: State | s.transition = none =&gt; s in FSM.stop</t>
  </si>
  <si>
    <t>"=&gt;"
all n1, n2:Node | n2 in n1.nxt =&gt; n1 in n2.pre</t>
  </si>
  <si>
    <t>all s:State | FSM.start != s.transition</t>
  </si>
  <si>
    <t>FSM.stop = State.*transition.^transition</t>
  </si>
  <si>
    <t>some s1: State | s1 in FSM.start</t>
  </si>
  <si>
    <t>some s1: State | s1 in FSM.stop</t>
  </si>
  <si>
    <t>all x: FSM, y: State | x.start !in y.transition</t>
  </si>
  <si>
    <t xml:space="preserve">all x: FSM, y: State | x.stop !in y.~transition </t>
  </si>
  <si>
    <t xml:space="preserve">#State.transition +1 = #FSM.stop </t>
  </si>
  <si>
    <t>all s : State | s = FSM.stop or s in FSM.start.*transition</t>
  </si>
  <si>
    <t>#FSM.start.transition != 0</t>
  </si>
  <si>
    <t>FSM.stop in State.*transition</t>
  </si>
  <si>
    <t>all s: State | s.*transition != FSM.start</t>
  </si>
  <si>
    <t>all s:State | start.s != stop.s</t>
  </si>
  <si>
    <t xml:space="preserve">no s:State |  FSM.start= s.transition </t>
  </si>
  <si>
    <t>no s:State | s.transition = FSM.stop</t>
  </si>
  <si>
    <t>all s:State | s = FSM.start.*transition</t>
  </si>
  <si>
    <t>all s:State | FSM.stop.*transition = s</t>
  </si>
  <si>
    <t>pred PolicyAllowsGrading(s: Person, a: Assignment) {
	s in a.associated_with.assistant_for or s in a.associated_with.instructor_of
	// Fix: add "s !in a.assigned_to".
}</t>
  </si>
  <si>
    <t>alas in seclab.located_in and peds in seclab.located_in</t>
  </si>
  <si>
    <t>all n: This.header.*link | n.elem &lt;= n.link.elem</t>
  </si>
  <si>
    <t>( x ! in This.header.*link.elem =&gt; result=False ) || result = True</t>
  </si>
  <si>
    <t>pred Loop(This: List) {
    no n: Node | n = (n - This.header).link
    one n:Node | n.link = This.header
}</t>
  </si>
  <si>
    <t>all n: Node | n.elem &lt;= (n.link-This.header).elem</t>
  </si>
  <si>
    <t>all n:(This.header.*link) | n.elem &lt;= n.link.elem</t>
  </si>
  <si>
    <t>all l: List | one l.header</t>
  </si>
  <si>
    <t>all n: Node | one n.link</t>
  </si>
  <si>
    <t>pred Loop(This: List) {
    // Fix: add "no This.header".
    one n:This.header.*link | n in n.^link
}</t>
  </si>
  <si>
    <t>all n : This.header.*link | n.elem &lt;= n.link.elem</t>
  </si>
  <si>
    <t>pred Loop(This: List) {
    all n: Node| n in This.header.link.^(link)
    #header &gt; 0
}</t>
  </si>
  <si>
    <t>all n:Node | n.elem &lt;= n.link.elem</t>
  </si>
  <si>
    <t>"=&gt;"
some n: This.header.*link | n.elem = x } =&gt; True = result</t>
  </si>
  <si>
    <t>all n: This.header.*link | n.elem &lt;= n.^link.elem</t>
  </si>
  <si>
    <t>all
{ all n: This.header.*link | n.elem = x } =&gt;result = True else result = False</t>
  </si>
  <si>
    <t>n.link in n
no This.header || one n:This.header.*link | n.link in n</t>
  </si>
  <si>
    <t>// Fix: add "no This.header".
one n: This.header.*link | n in n.^link</t>
  </si>
  <si>
    <t>pred Loop(This: List) {
  // Fix: add "no This.header or one n: This.header.*link | n = n.link".
}</t>
  </si>
  <si>
    <t>pred Sorted(This: List) {
  // Fix: add "all n: This.header.*link | no n.link or n.elem &lt;= n.link.elem".
}</t>
  </si>
  <si>
    <t>pred Count(This: List, x: Int, result: Int) {
  // Fix: add "result = #{n: This.header.*link | n.elem = x}".
}</t>
  </si>
  <si>
    <t>pred Contains(This: List, x: Int, result: Boolean) {
     RepOk[This]
     // Fix: add "(some n: This.header.*link | n.elem = x) =&gt; result = True else result = False".
}</t>
  </si>
  <si>
    <t>pred Loop(This: List) {
    // Fix: add "no This.header".
    one n: This.header.*link | n.link = n
}</t>
  </si>
  <si>
    <t>no This.header.link
no This.header.link || one n: This.header.*link | n.link = n</t>
  </si>
  <si>
    <t>all n: This.header.*link | one n.link &amp;&amp; n.elem &lt;= n.link.elem</t>
  </si>
  <si>
    <t>||
result = #{n: Node | n in This.header.*link || n.elem = x}</t>
  </si>
  <si>
    <t>all n:This.header.*link | n.elem &lt;= n.link.elem</t>
  </si>
  <si>
    <t>pred Count(This: List, x: Int, result: Int) {
    // Fix: delete "all n: This.header.*link.elem | x = n".
    all n: This.header.*link.elem | x = n
    // Fix: replace "result = #x" with "result = #{n: This.header.*link | n.elem = x}".
    result = #x
}</t>
  </si>
  <si>
    <t>(some n: This.header.*link | x in n.elem &amp;&amp; result = True) || (all n: This.header.*link | x !in n.elem &amp;&amp; result = False)</t>
  </si>
  <si>
    <t>Y</t>
  </si>
  <si>
    <t>X</t>
  </si>
  <si>
    <t>i &gt; 0
all a: Array, i: a.i2e.Element | i &gt; 0 and i &lt; a.length</t>
  </si>
  <si>
    <t>top 1</t>
  </si>
  <si>
    <t>top 5</t>
  </si>
  <si>
    <t>top 10</t>
  </si>
  <si>
    <t>&gt; 10</t>
  </si>
  <si>
    <t>alloyfl r/t</t>
  </si>
  <si>
    <t>flack r/t</t>
  </si>
  <si>
    <t>unsat</t>
  </si>
  <si>
    <t>bempl</t>
  </si>
  <si>
    <t>ctree</t>
  </si>
  <si>
    <t>grade</t>
  </si>
  <si>
    <t>other</t>
  </si>
  <si>
    <t>model</t>
  </si>
  <si>
    <t>loc</t>
  </si>
  <si>
    <t># rel</t>
  </si>
  <si>
    <t># val</t>
  </si>
  <si>
    <t>sliced</t>
  </si>
  <si>
    <t>total</t>
  </si>
  <si>
    <t>flack</t>
  </si>
  <si>
    <t>afl</t>
  </si>
  <si>
    <t>median</t>
  </si>
  <si>
    <t>avarage</t>
  </si>
  <si>
    <t>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</si>
</sst>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Menlo"/>
      <family val="2"/>
    </font>
    <font>
      <b/>
      <sz val="11"/>
      <color theme="4"/>
      <name val="Menlo"/>
      <family val="2"/>
    </font>
    <font>
      <sz val="11"/>
      <color theme="4"/>
      <name val="Menlo"/>
      <family val="2"/>
    </font>
    <font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Fill="1"/>
    <xf numFmtId="0" fontId="2" fillId="0" borderId="0" xfId="0" applyFont="1" applyFill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wrapText="1"/>
    </xf>
    <xf numFmtId="0" fontId="4" fillId="3" borderId="0" xfId="0" applyFont="1" applyFill="1"/>
    <xf numFmtId="16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hadrizia/ProjetoAll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B679-A002-ED41-A5A9-62B4EEB79ECD}">
  <dimension ref="A1:E57"/>
  <sheetViews>
    <sheetView workbookViewId="0">
      <selection activeCell="C13" sqref="C13"/>
    </sheetView>
  </sheetViews>
  <sheetFormatPr baseColWidth="10" defaultRowHeight="16" x14ac:dyDescent="0.2"/>
  <cols>
    <col min="1" max="1" width="13.1640625" customWidth="1"/>
    <col min="2" max="3" width="22.33203125" customWidth="1"/>
    <col min="4" max="4" width="27" bestFit="1" customWidth="1"/>
    <col min="5" max="5" width="84.1640625" bestFit="1" customWidth="1"/>
  </cols>
  <sheetData>
    <row r="1" spans="1:5" x14ac:dyDescent="0.2">
      <c r="B1" t="s">
        <v>1</v>
      </c>
      <c r="C1" t="s">
        <v>134</v>
      </c>
      <c r="D1" t="s">
        <v>2</v>
      </c>
      <c r="E1" t="s">
        <v>3</v>
      </c>
    </row>
    <row r="2" spans="1:5" ht="34" x14ac:dyDescent="0.2">
      <c r="A2" t="s">
        <v>0</v>
      </c>
      <c r="B2" s="1" t="s">
        <v>4</v>
      </c>
      <c r="C2" s="1" t="s">
        <v>135</v>
      </c>
      <c r="D2" t="s">
        <v>5</v>
      </c>
      <c r="E2" t="s">
        <v>6</v>
      </c>
    </row>
    <row r="3" spans="1:5" x14ac:dyDescent="0.2">
      <c r="A3" t="s">
        <v>7</v>
      </c>
      <c r="B3" t="s">
        <v>8</v>
      </c>
    </row>
    <row r="4" spans="1:5" ht="51" x14ac:dyDescent="0.2">
      <c r="A4" t="s">
        <v>9</v>
      </c>
      <c r="B4" s="1" t="s">
        <v>10</v>
      </c>
      <c r="C4" s="1" t="s">
        <v>136</v>
      </c>
      <c r="D4" t="s">
        <v>11</v>
      </c>
      <c r="E4" s="1" t="s">
        <v>12</v>
      </c>
    </row>
    <row r="5" spans="1:5" ht="68" x14ac:dyDescent="0.2">
      <c r="A5" t="s">
        <v>13</v>
      </c>
      <c r="B5" s="1" t="s">
        <v>14</v>
      </c>
      <c r="C5" s="1" t="s">
        <v>137</v>
      </c>
      <c r="D5" s="1" t="s">
        <v>15</v>
      </c>
      <c r="E5" t="s">
        <v>16</v>
      </c>
    </row>
    <row r="6" spans="1:5" ht="102" x14ac:dyDescent="0.2">
      <c r="A6" t="s">
        <v>17</v>
      </c>
      <c r="B6" s="1" t="s">
        <v>18</v>
      </c>
      <c r="C6" s="1" t="s">
        <v>138</v>
      </c>
      <c r="D6" s="1" t="s">
        <v>19</v>
      </c>
      <c r="E6" s="1" t="s">
        <v>20</v>
      </c>
    </row>
    <row r="7" spans="1:5" ht="51" x14ac:dyDescent="0.2">
      <c r="A7" t="s">
        <v>21</v>
      </c>
      <c r="B7" s="1" t="s">
        <v>22</v>
      </c>
      <c r="C7" s="1"/>
      <c r="D7" s="1" t="s">
        <v>23</v>
      </c>
      <c r="E7" t="s">
        <v>24</v>
      </c>
    </row>
    <row r="8" spans="1:5" ht="136" x14ac:dyDescent="0.2">
      <c r="A8" t="s">
        <v>25</v>
      </c>
      <c r="D8" s="1" t="s">
        <v>28</v>
      </c>
      <c r="E8" s="1" t="s">
        <v>26</v>
      </c>
    </row>
    <row r="9" spans="1:5" ht="17" x14ac:dyDescent="0.2">
      <c r="A9" t="s">
        <v>29</v>
      </c>
      <c r="B9" s="1" t="s">
        <v>30</v>
      </c>
      <c r="C9" s="1"/>
    </row>
    <row r="10" spans="1:5" ht="17" x14ac:dyDescent="0.2">
      <c r="A10" t="s">
        <v>31</v>
      </c>
      <c r="D10" s="1" t="s">
        <v>32</v>
      </c>
      <c r="E10" s="1" t="s">
        <v>33</v>
      </c>
    </row>
    <row r="11" spans="1:5" ht="34" x14ac:dyDescent="0.2">
      <c r="A11" t="s">
        <v>34</v>
      </c>
      <c r="B11" s="1" t="s">
        <v>35</v>
      </c>
      <c r="C11" s="1" t="s">
        <v>139</v>
      </c>
      <c r="D11" s="1" t="s">
        <v>36</v>
      </c>
      <c r="E11" t="s">
        <v>37</v>
      </c>
    </row>
    <row r="12" spans="1:5" ht="85" x14ac:dyDescent="0.2">
      <c r="A12" t="s">
        <v>38</v>
      </c>
      <c r="B12" s="1" t="s">
        <v>39</v>
      </c>
      <c r="C12" s="1" t="s">
        <v>139</v>
      </c>
      <c r="D12" s="1" t="s">
        <v>41</v>
      </c>
      <c r="E12" s="1" t="s">
        <v>40</v>
      </c>
    </row>
    <row r="13" spans="1:5" ht="17" x14ac:dyDescent="0.2">
      <c r="A13" t="s">
        <v>42</v>
      </c>
      <c r="B13" s="1" t="s">
        <v>43</v>
      </c>
      <c r="C13" s="1" t="s">
        <v>139</v>
      </c>
      <c r="D13" s="1" t="s">
        <v>44</v>
      </c>
    </row>
    <row r="14" spans="1:5" ht="34" x14ac:dyDescent="0.2">
      <c r="A14" t="s">
        <v>45</v>
      </c>
      <c r="B14" s="1" t="s">
        <v>46</v>
      </c>
      <c r="C14" s="1" t="s">
        <v>140</v>
      </c>
      <c r="D14" s="1" t="s">
        <v>47</v>
      </c>
      <c r="E14" s="1" t="s">
        <v>48</v>
      </c>
    </row>
    <row r="15" spans="1:5" ht="34" x14ac:dyDescent="0.2">
      <c r="A15" t="s">
        <v>49</v>
      </c>
      <c r="B15" s="1" t="s">
        <v>50</v>
      </c>
      <c r="C15" s="1" t="s">
        <v>140</v>
      </c>
      <c r="D15" s="1" t="s">
        <v>51</v>
      </c>
      <c r="E15" t="s">
        <v>52</v>
      </c>
    </row>
    <row r="16" spans="1:5" ht="51" x14ac:dyDescent="0.2">
      <c r="A16" t="s">
        <v>53</v>
      </c>
      <c r="B16" s="1" t="s">
        <v>54</v>
      </c>
      <c r="C16" s="1" t="s">
        <v>141</v>
      </c>
      <c r="D16" s="1" t="s">
        <v>55</v>
      </c>
      <c r="E16" s="1" t="s">
        <v>56</v>
      </c>
    </row>
    <row r="17" spans="1:5" ht="51" x14ac:dyDescent="0.2">
      <c r="A17" t="s">
        <v>57</v>
      </c>
      <c r="B17" s="1" t="s">
        <v>58</v>
      </c>
      <c r="C17" s="1" t="s">
        <v>140</v>
      </c>
      <c r="D17" s="1" t="s">
        <v>59</v>
      </c>
      <c r="E17" s="1" t="s">
        <v>60</v>
      </c>
    </row>
    <row r="18" spans="1:5" ht="17" x14ac:dyDescent="0.2">
      <c r="A18" t="s">
        <v>61</v>
      </c>
      <c r="B18" s="1" t="s">
        <v>62</v>
      </c>
      <c r="C18" s="1"/>
    </row>
    <row r="19" spans="1:5" ht="17" x14ac:dyDescent="0.2">
      <c r="A19" t="s">
        <v>63</v>
      </c>
      <c r="B19" s="1" t="s">
        <v>64</v>
      </c>
      <c r="C19" s="1"/>
    </row>
    <row r="20" spans="1:5" ht="34" x14ac:dyDescent="0.2">
      <c r="A20" t="s">
        <v>65</v>
      </c>
      <c r="B20" s="1" t="s">
        <v>66</v>
      </c>
      <c r="C20" s="1"/>
    </row>
    <row r="21" spans="1:5" x14ac:dyDescent="0.2">
      <c r="A21" t="s">
        <v>67</v>
      </c>
      <c r="E21" t="s">
        <v>68</v>
      </c>
    </row>
    <row r="22" spans="1:5" x14ac:dyDescent="0.2">
      <c r="A22" t="s">
        <v>69</v>
      </c>
      <c r="E22" t="s">
        <v>68</v>
      </c>
    </row>
    <row r="23" spans="1:5" ht="17" x14ac:dyDescent="0.2">
      <c r="A23" t="s">
        <v>70</v>
      </c>
      <c r="B23" s="1" t="s">
        <v>62</v>
      </c>
      <c r="C23" s="1"/>
    </row>
    <row r="24" spans="1:5" ht="17" x14ac:dyDescent="0.2">
      <c r="A24" t="s">
        <v>71</v>
      </c>
      <c r="B24" s="1" t="s">
        <v>75</v>
      </c>
      <c r="C24" s="1"/>
      <c r="D24" s="2" t="s">
        <v>72</v>
      </c>
      <c r="E24" t="s">
        <v>73</v>
      </c>
    </row>
    <row r="25" spans="1:5" ht="34" x14ac:dyDescent="0.2">
      <c r="A25" t="s">
        <v>74</v>
      </c>
      <c r="B25" s="1" t="s">
        <v>66</v>
      </c>
      <c r="C25" s="1"/>
    </row>
    <row r="26" spans="1:5" x14ac:dyDescent="0.2">
      <c r="A26" t="s">
        <v>76</v>
      </c>
      <c r="E26" t="s">
        <v>77</v>
      </c>
    </row>
    <row r="27" spans="1:5" ht="34" x14ac:dyDescent="0.2">
      <c r="A27" t="s">
        <v>78</v>
      </c>
      <c r="B27" s="1" t="s">
        <v>79</v>
      </c>
      <c r="C27" s="1" t="s">
        <v>139</v>
      </c>
      <c r="D27" t="s">
        <v>80</v>
      </c>
      <c r="E27" s="1" t="s">
        <v>81</v>
      </c>
    </row>
    <row r="28" spans="1:5" ht="119" x14ac:dyDescent="0.2">
      <c r="A28" t="s">
        <v>82</v>
      </c>
      <c r="B28" s="1" t="s">
        <v>85</v>
      </c>
      <c r="C28" s="1" t="s">
        <v>139</v>
      </c>
      <c r="D28" s="1" t="s">
        <v>83</v>
      </c>
      <c r="E28" t="s">
        <v>84</v>
      </c>
    </row>
    <row r="29" spans="1:5" ht="17" x14ac:dyDescent="0.2">
      <c r="A29" t="s">
        <v>86</v>
      </c>
      <c r="B29" s="1" t="s">
        <v>62</v>
      </c>
      <c r="C29" s="1"/>
    </row>
    <row r="30" spans="1:5" ht="17" x14ac:dyDescent="0.2">
      <c r="A30" t="s">
        <v>87</v>
      </c>
      <c r="B30" s="1" t="s">
        <v>62</v>
      </c>
      <c r="C30" s="1"/>
    </row>
    <row r="31" spans="1:5" ht="68" x14ac:dyDescent="0.2">
      <c r="A31" t="s">
        <v>88</v>
      </c>
      <c r="B31" s="1" t="s">
        <v>89</v>
      </c>
      <c r="C31" s="1"/>
    </row>
    <row r="32" spans="1:5" ht="17" x14ac:dyDescent="0.2">
      <c r="A32" t="s">
        <v>90</v>
      </c>
      <c r="B32" s="1" t="s">
        <v>62</v>
      </c>
      <c r="C32" s="1"/>
    </row>
    <row r="33" spans="1:5" x14ac:dyDescent="0.2">
      <c r="A33" t="s">
        <v>91</v>
      </c>
      <c r="E33" t="s">
        <v>116</v>
      </c>
    </row>
    <row r="34" spans="1:5" ht="17" x14ac:dyDescent="0.2">
      <c r="A34" t="s">
        <v>92</v>
      </c>
      <c r="B34" s="1" t="s">
        <v>62</v>
      </c>
      <c r="C34" s="1"/>
    </row>
    <row r="35" spans="1:5" ht="17" x14ac:dyDescent="0.2">
      <c r="A35" t="s">
        <v>93</v>
      </c>
      <c r="B35" s="1" t="s">
        <v>62</v>
      </c>
      <c r="C35" s="1"/>
    </row>
    <row r="36" spans="1:5" ht="17" x14ac:dyDescent="0.2">
      <c r="A36" t="s">
        <v>94</v>
      </c>
      <c r="B36" s="1" t="s">
        <v>62</v>
      </c>
      <c r="C36" s="1"/>
    </row>
    <row r="37" spans="1:5" ht="17" x14ac:dyDescent="0.2">
      <c r="A37" t="s">
        <v>95</v>
      </c>
      <c r="B37" s="1" t="s">
        <v>117</v>
      </c>
      <c r="C37" s="1"/>
    </row>
    <row r="38" spans="1:5" ht="17" x14ac:dyDescent="0.2">
      <c r="A38" t="s">
        <v>96</v>
      </c>
      <c r="B38" s="1" t="s">
        <v>62</v>
      </c>
      <c r="C38" s="1"/>
    </row>
    <row r="39" spans="1:5" x14ac:dyDescent="0.2">
      <c r="A39" t="s">
        <v>97</v>
      </c>
    </row>
    <row r="40" spans="1:5" ht="17" x14ac:dyDescent="0.2">
      <c r="A40" t="s">
        <v>98</v>
      </c>
      <c r="B40" s="1" t="s">
        <v>62</v>
      </c>
      <c r="C40" s="1"/>
    </row>
    <row r="41" spans="1:5" ht="17" x14ac:dyDescent="0.2">
      <c r="A41" t="s">
        <v>99</v>
      </c>
      <c r="B41" s="1" t="s">
        <v>118</v>
      </c>
      <c r="C41" s="1"/>
      <c r="D41" t="s">
        <v>119</v>
      </c>
    </row>
    <row r="42" spans="1:5" ht="17" x14ac:dyDescent="0.2">
      <c r="A42" t="s">
        <v>100</v>
      </c>
      <c r="B42" s="1" t="s">
        <v>62</v>
      </c>
      <c r="C42" s="1"/>
    </row>
    <row r="43" spans="1:5" ht="17" x14ac:dyDescent="0.2">
      <c r="A43" t="s">
        <v>101</v>
      </c>
      <c r="B43" s="1" t="s">
        <v>62</v>
      </c>
      <c r="C43" s="1"/>
    </row>
    <row r="44" spans="1:5" ht="17" x14ac:dyDescent="0.2">
      <c r="A44" t="s">
        <v>102</v>
      </c>
      <c r="B44" s="1" t="s">
        <v>62</v>
      </c>
      <c r="C44" s="1"/>
    </row>
    <row r="45" spans="1:5" x14ac:dyDescent="0.2">
      <c r="A45" t="s">
        <v>103</v>
      </c>
      <c r="D45" t="s">
        <v>120</v>
      </c>
      <c r="E45" t="s">
        <v>121</v>
      </c>
    </row>
    <row r="46" spans="1:5" ht="34" x14ac:dyDescent="0.2">
      <c r="A46" t="s">
        <v>104</v>
      </c>
      <c r="B46" s="1" t="s">
        <v>123</v>
      </c>
      <c r="C46" s="1" t="s">
        <v>140</v>
      </c>
      <c r="D46" t="s">
        <v>122</v>
      </c>
      <c r="E46" t="s">
        <v>124</v>
      </c>
    </row>
    <row r="47" spans="1:5" ht="17" x14ac:dyDescent="0.2">
      <c r="A47" t="s">
        <v>105</v>
      </c>
      <c r="B47" s="1" t="s">
        <v>62</v>
      </c>
      <c r="C47" s="1"/>
    </row>
    <row r="48" spans="1:5" ht="51" x14ac:dyDescent="0.2">
      <c r="A48" t="s">
        <v>106</v>
      </c>
      <c r="B48" s="1" t="s">
        <v>126</v>
      </c>
      <c r="C48" s="1"/>
      <c r="D48" t="s">
        <v>125</v>
      </c>
      <c r="E48" t="s">
        <v>127</v>
      </c>
    </row>
    <row r="49" spans="1:5" ht="17" x14ac:dyDescent="0.2">
      <c r="A49" t="s">
        <v>107</v>
      </c>
      <c r="B49" s="1" t="s">
        <v>62</v>
      </c>
      <c r="C49" s="1"/>
    </row>
    <row r="50" spans="1:5" x14ac:dyDescent="0.2">
      <c r="A50" t="s">
        <v>108</v>
      </c>
      <c r="E50" t="s">
        <v>128</v>
      </c>
    </row>
    <row r="51" spans="1:5" ht="17" x14ac:dyDescent="0.2">
      <c r="A51" t="s">
        <v>109</v>
      </c>
      <c r="B51" s="1" t="s">
        <v>62</v>
      </c>
      <c r="C51" s="1"/>
    </row>
    <row r="52" spans="1:5" ht="17" x14ac:dyDescent="0.2">
      <c r="A52" t="s">
        <v>110</v>
      </c>
      <c r="B52" s="1" t="s">
        <v>129</v>
      </c>
      <c r="C52" s="1"/>
    </row>
    <row r="53" spans="1:5" ht="34" x14ac:dyDescent="0.2">
      <c r="A53" t="s">
        <v>111</v>
      </c>
      <c r="B53" s="1" t="s">
        <v>130</v>
      </c>
      <c r="C53" s="1"/>
    </row>
    <row r="54" spans="1:5" x14ac:dyDescent="0.2">
      <c r="A54" t="s">
        <v>112</v>
      </c>
      <c r="E54" t="s">
        <v>131</v>
      </c>
    </row>
    <row r="55" spans="1:5" ht="17" x14ac:dyDescent="0.2">
      <c r="A55" t="s">
        <v>113</v>
      </c>
      <c r="B55" s="1" t="s">
        <v>117</v>
      </c>
      <c r="C55" s="1"/>
    </row>
    <row r="56" spans="1:5" ht="17" x14ac:dyDescent="0.2">
      <c r="A56" t="s">
        <v>114</v>
      </c>
      <c r="B56" s="1" t="s">
        <v>62</v>
      </c>
      <c r="C56" s="1"/>
    </row>
    <row r="57" spans="1:5" ht="17" x14ac:dyDescent="0.2">
      <c r="A57" t="s">
        <v>115</v>
      </c>
      <c r="B57" s="1" t="s">
        <v>133</v>
      </c>
      <c r="C57" s="1"/>
      <c r="E57" t="s">
        <v>132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4DE8-5271-1044-B329-5606BC5359B2}">
  <dimension ref="A1:H165"/>
  <sheetViews>
    <sheetView zoomScale="125" zoomScaleNormal="125" workbookViewId="0">
      <selection activeCell="F2" sqref="F2"/>
    </sheetView>
  </sheetViews>
  <sheetFormatPr baseColWidth="10" defaultRowHeight="16" x14ac:dyDescent="0.2"/>
  <cols>
    <col min="1" max="1" width="23.83203125" customWidth="1"/>
    <col min="2" max="2" width="73.1640625" customWidth="1"/>
  </cols>
  <sheetData>
    <row r="1" spans="1:8" x14ac:dyDescent="0.2">
      <c r="B1" t="s">
        <v>299</v>
      </c>
      <c r="C1" t="s">
        <v>445</v>
      </c>
      <c r="D1" t="s">
        <v>296</v>
      </c>
      <c r="F1" t="s">
        <v>446</v>
      </c>
      <c r="G1" t="s">
        <v>296</v>
      </c>
      <c r="H1" t="s">
        <v>447</v>
      </c>
    </row>
    <row r="2" spans="1:8" ht="32" x14ac:dyDescent="0.2">
      <c r="A2" s="3" t="s">
        <v>143</v>
      </c>
      <c r="B2" s="4" t="s">
        <v>301</v>
      </c>
      <c r="C2">
        <v>1</v>
      </c>
      <c r="D2">
        <v>9.1999999999999993</v>
      </c>
      <c r="F2">
        <v>1</v>
      </c>
      <c r="G2">
        <v>0.61</v>
      </c>
    </row>
    <row r="3" spans="1:8" ht="32" x14ac:dyDescent="0.2">
      <c r="A3" s="3" t="s">
        <v>7</v>
      </c>
      <c r="B3" s="4" t="s">
        <v>300</v>
      </c>
      <c r="C3">
        <v>1</v>
      </c>
      <c r="D3">
        <v>1.6</v>
      </c>
      <c r="F3">
        <v>1</v>
      </c>
      <c r="G3">
        <v>0.1</v>
      </c>
      <c r="H3" t="s">
        <v>438</v>
      </c>
    </row>
    <row r="4" spans="1:8" x14ac:dyDescent="0.2">
      <c r="A4" s="3" t="s">
        <v>9</v>
      </c>
      <c r="B4" s="3" t="s">
        <v>11</v>
      </c>
      <c r="C4">
        <v>1</v>
      </c>
      <c r="D4">
        <v>7.4</v>
      </c>
      <c r="F4">
        <v>1</v>
      </c>
      <c r="G4">
        <v>0.22</v>
      </c>
      <c r="H4" t="s">
        <v>438</v>
      </c>
    </row>
    <row r="5" spans="1:8" s="11" customFormat="1" ht="32" x14ac:dyDescent="0.2">
      <c r="A5" s="10" t="s">
        <v>227</v>
      </c>
      <c r="B5" s="12" t="s">
        <v>302</v>
      </c>
      <c r="C5" s="11" t="s">
        <v>439</v>
      </c>
      <c r="D5" s="11">
        <v>0.1</v>
      </c>
      <c r="F5" s="11" t="s">
        <v>439</v>
      </c>
      <c r="G5" s="11">
        <v>0.03</v>
      </c>
    </row>
    <row r="6" spans="1:8" x14ac:dyDescent="0.2">
      <c r="A6" s="3" t="s">
        <v>146</v>
      </c>
      <c r="B6" s="3" t="s">
        <v>303</v>
      </c>
      <c r="C6">
        <v>1</v>
      </c>
      <c r="D6">
        <v>6.1</v>
      </c>
      <c r="F6">
        <v>1</v>
      </c>
      <c r="G6">
        <v>0.13</v>
      </c>
    </row>
    <row r="7" spans="1:8" ht="32" x14ac:dyDescent="0.2">
      <c r="A7" s="3" t="s">
        <v>147</v>
      </c>
      <c r="B7" s="4" t="s">
        <v>304</v>
      </c>
      <c r="C7">
        <v>1</v>
      </c>
      <c r="D7">
        <v>8.6999999999999993</v>
      </c>
      <c r="F7">
        <v>1</v>
      </c>
      <c r="G7">
        <v>0.19</v>
      </c>
    </row>
    <row r="8" spans="1:8" ht="32" x14ac:dyDescent="0.2">
      <c r="A8" s="3" t="s">
        <v>148</v>
      </c>
      <c r="B8" s="4" t="s">
        <v>440</v>
      </c>
      <c r="C8">
        <v>1</v>
      </c>
      <c r="D8">
        <v>5.8</v>
      </c>
      <c r="F8">
        <v>1</v>
      </c>
      <c r="G8">
        <v>0.21</v>
      </c>
    </row>
    <row r="9" spans="1:8" ht="48" x14ac:dyDescent="0.2">
      <c r="A9" s="3" t="s">
        <v>149</v>
      </c>
      <c r="B9" s="4" t="s">
        <v>305</v>
      </c>
      <c r="C9">
        <v>2</v>
      </c>
      <c r="D9">
        <v>4.4000000000000004</v>
      </c>
      <c r="F9">
        <v>1</v>
      </c>
      <c r="G9">
        <v>0.28999999999999998</v>
      </c>
    </row>
    <row r="10" spans="1:8" x14ac:dyDescent="0.2">
      <c r="A10" s="3" t="s">
        <v>150</v>
      </c>
      <c r="B10" s="3" t="s">
        <v>306</v>
      </c>
      <c r="C10">
        <v>1</v>
      </c>
      <c r="D10">
        <v>6.9</v>
      </c>
      <c r="F10">
        <v>1</v>
      </c>
      <c r="G10">
        <v>0.14000000000000001</v>
      </c>
    </row>
    <row r="11" spans="1:8" x14ac:dyDescent="0.2">
      <c r="A11" s="3" t="s">
        <v>228</v>
      </c>
      <c r="B11" s="3" t="s">
        <v>307</v>
      </c>
      <c r="C11">
        <v>1</v>
      </c>
      <c r="D11">
        <v>5.7</v>
      </c>
      <c r="F11">
        <v>2</v>
      </c>
      <c r="G11">
        <v>0.92</v>
      </c>
    </row>
    <row r="12" spans="1:8" x14ac:dyDescent="0.2">
      <c r="A12" s="6" t="s">
        <v>151</v>
      </c>
      <c r="B12" s="3" t="s">
        <v>308</v>
      </c>
      <c r="C12">
        <v>1</v>
      </c>
      <c r="D12">
        <v>8.8000000000000007</v>
      </c>
      <c r="F12" s="7">
        <v>4</v>
      </c>
      <c r="G12">
        <v>0.53</v>
      </c>
    </row>
    <row r="13" spans="1:8" ht="48" x14ac:dyDescent="0.2">
      <c r="A13" s="3" t="s">
        <v>152</v>
      </c>
      <c r="B13" s="4" t="s">
        <v>309</v>
      </c>
      <c r="C13">
        <v>2</v>
      </c>
      <c r="D13">
        <v>8</v>
      </c>
      <c r="F13">
        <v>2</v>
      </c>
      <c r="G13">
        <v>0.15</v>
      </c>
    </row>
    <row r="14" spans="1:8" ht="32" x14ac:dyDescent="0.2">
      <c r="A14" s="3" t="s">
        <v>144</v>
      </c>
      <c r="B14" s="4" t="s">
        <v>310</v>
      </c>
      <c r="C14">
        <v>1</v>
      </c>
      <c r="D14">
        <v>1.3</v>
      </c>
      <c r="F14">
        <v>1</v>
      </c>
      <c r="G14">
        <v>0.03</v>
      </c>
      <c r="H14" t="s">
        <v>438</v>
      </c>
    </row>
    <row r="15" spans="1:8" ht="48" x14ac:dyDescent="0.2">
      <c r="A15" s="6" t="s">
        <v>145</v>
      </c>
      <c r="B15" s="4" t="s">
        <v>311</v>
      </c>
      <c r="C15">
        <v>1</v>
      </c>
      <c r="D15">
        <v>7</v>
      </c>
      <c r="F15" s="7">
        <v>5</v>
      </c>
      <c r="G15">
        <v>0.1</v>
      </c>
    </row>
    <row r="16" spans="1:8" ht="32" x14ac:dyDescent="0.2">
      <c r="A16" s="3" t="s">
        <v>153</v>
      </c>
      <c r="B16" s="4" t="s">
        <v>312</v>
      </c>
      <c r="C16">
        <v>5</v>
      </c>
      <c r="D16">
        <v>43.6</v>
      </c>
      <c r="F16">
        <v>1</v>
      </c>
      <c r="G16">
        <v>0.16</v>
      </c>
      <c r="H16" t="s">
        <v>438</v>
      </c>
    </row>
    <row r="17" spans="1:8" x14ac:dyDescent="0.2">
      <c r="A17" s="5" t="s">
        <v>164</v>
      </c>
      <c r="B17" s="3" t="s">
        <v>313</v>
      </c>
      <c r="C17">
        <v>12</v>
      </c>
      <c r="D17">
        <v>68.3</v>
      </c>
      <c r="F17">
        <v>1</v>
      </c>
      <c r="G17">
        <v>0.42</v>
      </c>
    </row>
    <row r="18" spans="1:8" x14ac:dyDescent="0.2">
      <c r="A18" s="3" t="s">
        <v>229</v>
      </c>
      <c r="B18" s="3" t="s">
        <v>314</v>
      </c>
      <c r="C18">
        <v>13</v>
      </c>
      <c r="D18">
        <v>68.5</v>
      </c>
      <c r="F18">
        <v>1</v>
      </c>
      <c r="G18">
        <v>0.27</v>
      </c>
    </row>
    <row r="19" spans="1:8" x14ac:dyDescent="0.2">
      <c r="A19" s="3" t="s">
        <v>230</v>
      </c>
      <c r="B19" s="3" t="s">
        <v>315</v>
      </c>
      <c r="C19">
        <v>2</v>
      </c>
      <c r="D19">
        <v>95.2</v>
      </c>
      <c r="F19">
        <v>4</v>
      </c>
      <c r="G19">
        <v>0.08</v>
      </c>
    </row>
    <row r="20" spans="1:8" x14ac:dyDescent="0.2">
      <c r="A20" s="3" t="s">
        <v>231</v>
      </c>
      <c r="B20" s="3" t="s">
        <v>27</v>
      </c>
      <c r="C20">
        <v>2</v>
      </c>
      <c r="D20">
        <v>68.099999999999994</v>
      </c>
      <c r="F20">
        <v>2</v>
      </c>
      <c r="G20">
        <v>0.13</v>
      </c>
    </row>
    <row r="21" spans="1:8" ht="32" x14ac:dyDescent="0.2">
      <c r="A21" s="6" t="s">
        <v>168</v>
      </c>
      <c r="B21" s="4" t="s">
        <v>316</v>
      </c>
      <c r="C21">
        <v>8</v>
      </c>
      <c r="D21">
        <v>70</v>
      </c>
      <c r="F21">
        <v>4</v>
      </c>
      <c r="G21">
        <v>0.14000000000000001</v>
      </c>
    </row>
    <row r="22" spans="1:8" ht="32" x14ac:dyDescent="0.2">
      <c r="A22" s="3" t="s">
        <v>232</v>
      </c>
      <c r="B22" s="4" t="s">
        <v>317</v>
      </c>
      <c r="C22">
        <v>7</v>
      </c>
      <c r="D22">
        <v>71.2</v>
      </c>
      <c r="F22">
        <v>6</v>
      </c>
      <c r="G22">
        <v>0.2</v>
      </c>
    </row>
    <row r="23" spans="1:8" ht="96" x14ac:dyDescent="0.2">
      <c r="A23" s="3" t="s">
        <v>233</v>
      </c>
      <c r="B23" s="4" t="s">
        <v>318</v>
      </c>
      <c r="C23">
        <v>1</v>
      </c>
      <c r="D23">
        <v>68.599999999999994</v>
      </c>
      <c r="F23">
        <v>1</v>
      </c>
      <c r="G23">
        <v>0.24</v>
      </c>
    </row>
    <row r="24" spans="1:8" ht="48" x14ac:dyDescent="0.2">
      <c r="A24" s="13" t="s">
        <v>169</v>
      </c>
      <c r="B24" s="4" t="s">
        <v>320</v>
      </c>
      <c r="C24">
        <v>4</v>
      </c>
      <c r="D24">
        <v>70.400000000000006</v>
      </c>
      <c r="F24" t="s">
        <v>439</v>
      </c>
      <c r="G24">
        <v>0.12</v>
      </c>
    </row>
    <row r="25" spans="1:8" ht="32" x14ac:dyDescent="0.2">
      <c r="A25" s="6" t="s">
        <v>234</v>
      </c>
      <c r="B25" s="4" t="s">
        <v>319</v>
      </c>
      <c r="C25">
        <v>1</v>
      </c>
      <c r="D25">
        <v>94</v>
      </c>
      <c r="F25">
        <v>1</v>
      </c>
      <c r="G25">
        <v>0.13</v>
      </c>
      <c r="H25" t="s">
        <v>438</v>
      </c>
    </row>
    <row r="26" spans="1:8" ht="96" x14ac:dyDescent="0.2">
      <c r="A26" s="6" t="s">
        <v>235</v>
      </c>
      <c r="B26" s="4" t="s">
        <v>321</v>
      </c>
      <c r="C26">
        <v>1</v>
      </c>
      <c r="D26">
        <v>84.8</v>
      </c>
      <c r="F26">
        <v>11</v>
      </c>
      <c r="G26">
        <v>0.26</v>
      </c>
    </row>
    <row r="27" spans="1:8" ht="32" x14ac:dyDescent="0.2">
      <c r="A27" s="3" t="s">
        <v>170</v>
      </c>
      <c r="B27" s="4" t="s">
        <v>322</v>
      </c>
      <c r="C27">
        <v>5</v>
      </c>
      <c r="D27">
        <v>67.599999999999994</v>
      </c>
      <c r="F27">
        <v>1</v>
      </c>
      <c r="G27">
        <v>0.13</v>
      </c>
      <c r="H27" t="s">
        <v>438</v>
      </c>
    </row>
    <row r="28" spans="1:8" ht="96" x14ac:dyDescent="0.2">
      <c r="A28" s="6" t="s">
        <v>171</v>
      </c>
      <c r="B28" s="4" t="s">
        <v>323</v>
      </c>
      <c r="C28">
        <v>1</v>
      </c>
      <c r="D28">
        <v>69.400000000000006</v>
      </c>
      <c r="F28">
        <v>8</v>
      </c>
      <c r="G28">
        <v>0.19</v>
      </c>
    </row>
    <row r="29" spans="1:8" ht="32" x14ac:dyDescent="0.2">
      <c r="A29" s="3" t="s">
        <v>172</v>
      </c>
      <c r="B29" s="4" t="s">
        <v>324</v>
      </c>
      <c r="C29">
        <v>4</v>
      </c>
      <c r="D29">
        <v>49</v>
      </c>
      <c r="F29">
        <v>1</v>
      </c>
      <c r="G29">
        <v>0.11</v>
      </c>
      <c r="H29" t="s">
        <v>438</v>
      </c>
    </row>
    <row r="30" spans="1:8" ht="32" x14ac:dyDescent="0.2">
      <c r="A30" s="3" t="s">
        <v>173</v>
      </c>
      <c r="B30" s="4" t="s">
        <v>325</v>
      </c>
      <c r="C30">
        <v>8</v>
      </c>
      <c r="D30">
        <v>62.8</v>
      </c>
      <c r="F30">
        <v>3</v>
      </c>
      <c r="G30">
        <v>0.26</v>
      </c>
    </row>
    <row r="31" spans="1:8" ht="32" x14ac:dyDescent="0.2">
      <c r="A31" s="3" t="s">
        <v>236</v>
      </c>
      <c r="B31" s="4" t="s">
        <v>326</v>
      </c>
      <c r="C31">
        <v>8</v>
      </c>
      <c r="D31">
        <v>62.7</v>
      </c>
      <c r="F31">
        <v>3</v>
      </c>
      <c r="G31">
        <v>0.24</v>
      </c>
    </row>
    <row r="32" spans="1:8" ht="32" x14ac:dyDescent="0.2">
      <c r="A32" s="3" t="s">
        <v>237</v>
      </c>
      <c r="B32" s="4" t="s">
        <v>324</v>
      </c>
      <c r="C32">
        <v>4</v>
      </c>
      <c r="D32">
        <v>40.4</v>
      </c>
      <c r="F32">
        <v>1</v>
      </c>
      <c r="G32">
        <v>0.11</v>
      </c>
      <c r="H32" t="s">
        <v>438</v>
      </c>
    </row>
    <row r="33" spans="1:8" ht="32" x14ac:dyDescent="0.2">
      <c r="A33" s="3" t="s">
        <v>174</v>
      </c>
      <c r="B33" s="4" t="s">
        <v>327</v>
      </c>
      <c r="C33">
        <v>4</v>
      </c>
      <c r="D33">
        <v>59.2</v>
      </c>
      <c r="F33">
        <v>1</v>
      </c>
      <c r="G33">
        <v>0.11</v>
      </c>
      <c r="H33" t="s">
        <v>438</v>
      </c>
    </row>
    <row r="34" spans="1:8" x14ac:dyDescent="0.2">
      <c r="A34" s="3" t="s">
        <v>154</v>
      </c>
      <c r="B34" s="3" t="s">
        <v>328</v>
      </c>
      <c r="C34">
        <v>2</v>
      </c>
      <c r="D34">
        <v>91</v>
      </c>
      <c r="F34">
        <v>1</v>
      </c>
      <c r="G34">
        <v>0.57999999999999996</v>
      </c>
      <c r="H34" t="s">
        <v>438</v>
      </c>
    </row>
    <row r="35" spans="1:8" s="11" customFormat="1" x14ac:dyDescent="0.2">
      <c r="A35" s="10" t="s">
        <v>238</v>
      </c>
      <c r="B35" s="10" t="s">
        <v>329</v>
      </c>
      <c r="C35" s="11" t="s">
        <v>439</v>
      </c>
      <c r="D35" s="11">
        <v>0.7</v>
      </c>
      <c r="F35" s="11" t="s">
        <v>439</v>
      </c>
      <c r="G35" s="11">
        <v>0.01</v>
      </c>
    </row>
    <row r="36" spans="1:8" ht="32" x14ac:dyDescent="0.2">
      <c r="A36" s="3" t="s">
        <v>239</v>
      </c>
      <c r="B36" s="4" t="s">
        <v>330</v>
      </c>
      <c r="C36">
        <v>5</v>
      </c>
      <c r="D36">
        <v>50.3</v>
      </c>
      <c r="F36">
        <v>1</v>
      </c>
      <c r="G36">
        <v>0.11</v>
      </c>
      <c r="H36" t="s">
        <v>438</v>
      </c>
    </row>
    <row r="37" spans="1:8" ht="128" x14ac:dyDescent="0.2">
      <c r="A37" s="3" t="s">
        <v>240</v>
      </c>
      <c r="B37" s="4" t="s">
        <v>331</v>
      </c>
      <c r="C37">
        <v>4</v>
      </c>
      <c r="D37">
        <v>91.7</v>
      </c>
      <c r="F37">
        <v>5</v>
      </c>
      <c r="G37">
        <v>0.3</v>
      </c>
    </row>
    <row r="38" spans="1:8" ht="48" x14ac:dyDescent="0.2">
      <c r="A38" s="6" t="s">
        <v>155</v>
      </c>
      <c r="B38" s="4" t="s">
        <v>332</v>
      </c>
      <c r="C38">
        <v>31</v>
      </c>
      <c r="D38">
        <v>77</v>
      </c>
      <c r="F38" t="s">
        <v>439</v>
      </c>
      <c r="G38">
        <v>0.22</v>
      </c>
    </row>
    <row r="39" spans="1:8" ht="64" x14ac:dyDescent="0.2">
      <c r="A39" s="3" t="s">
        <v>241</v>
      </c>
      <c r="B39" s="4" t="s">
        <v>333</v>
      </c>
      <c r="C39">
        <v>8</v>
      </c>
      <c r="D39">
        <v>77.2</v>
      </c>
      <c r="F39">
        <v>1</v>
      </c>
      <c r="G39">
        <v>0.13</v>
      </c>
      <c r="H39" t="s">
        <v>438</v>
      </c>
    </row>
    <row r="40" spans="1:8" ht="32" x14ac:dyDescent="0.2">
      <c r="A40" s="3" t="s">
        <v>156</v>
      </c>
      <c r="B40" s="4" t="s">
        <v>334</v>
      </c>
      <c r="C40" t="s">
        <v>439</v>
      </c>
      <c r="D40">
        <v>0.6</v>
      </c>
      <c r="F40">
        <v>2</v>
      </c>
      <c r="G40">
        <v>0.17</v>
      </c>
    </row>
    <row r="41" spans="1:8" ht="64" x14ac:dyDescent="0.2">
      <c r="A41" s="3" t="s">
        <v>242</v>
      </c>
      <c r="B41" s="4" t="s">
        <v>335</v>
      </c>
      <c r="C41">
        <v>6</v>
      </c>
      <c r="D41">
        <v>62.9</v>
      </c>
      <c r="F41">
        <v>8</v>
      </c>
      <c r="G41">
        <v>0.19</v>
      </c>
    </row>
    <row r="42" spans="1:8" ht="32" x14ac:dyDescent="0.2">
      <c r="A42" s="3" t="s">
        <v>157</v>
      </c>
      <c r="B42" s="4" t="s">
        <v>322</v>
      </c>
      <c r="C42">
        <v>5</v>
      </c>
      <c r="D42">
        <v>66.099999999999994</v>
      </c>
      <c r="F42">
        <v>1</v>
      </c>
      <c r="G42">
        <v>0.12</v>
      </c>
      <c r="H42" t="s">
        <v>438</v>
      </c>
    </row>
    <row r="43" spans="1:8" ht="32" x14ac:dyDescent="0.2">
      <c r="A43" s="3" t="s">
        <v>158</v>
      </c>
      <c r="B43" s="4" t="s">
        <v>327</v>
      </c>
      <c r="C43">
        <v>4</v>
      </c>
      <c r="D43">
        <v>63.3</v>
      </c>
      <c r="F43">
        <v>1</v>
      </c>
      <c r="G43">
        <v>0.1</v>
      </c>
      <c r="H43" t="s">
        <v>438</v>
      </c>
    </row>
    <row r="44" spans="1:8" ht="32" x14ac:dyDescent="0.2">
      <c r="A44" s="3" t="s">
        <v>159</v>
      </c>
      <c r="B44" s="4" t="s">
        <v>330</v>
      </c>
      <c r="C44">
        <v>5</v>
      </c>
      <c r="D44">
        <v>68.5</v>
      </c>
      <c r="F44">
        <v>1</v>
      </c>
      <c r="G44">
        <v>0.12</v>
      </c>
      <c r="H44" t="s">
        <v>438</v>
      </c>
    </row>
    <row r="45" spans="1:8" ht="160" x14ac:dyDescent="0.2">
      <c r="A45" s="6" t="s">
        <v>160</v>
      </c>
      <c r="B45" s="4" t="s">
        <v>336</v>
      </c>
      <c r="C45">
        <v>3</v>
      </c>
      <c r="D45">
        <v>76.900000000000006</v>
      </c>
      <c r="F45">
        <v>12</v>
      </c>
      <c r="G45">
        <v>0.27</v>
      </c>
    </row>
    <row r="46" spans="1:8" ht="32" x14ac:dyDescent="0.2">
      <c r="A46" s="6" t="s">
        <v>161</v>
      </c>
      <c r="B46" s="4" t="s">
        <v>337</v>
      </c>
      <c r="C46">
        <v>1</v>
      </c>
      <c r="D46">
        <v>113.7</v>
      </c>
      <c r="F46">
        <v>12</v>
      </c>
      <c r="G46">
        <v>0.19</v>
      </c>
    </row>
    <row r="47" spans="1:8" ht="32" x14ac:dyDescent="0.2">
      <c r="A47" s="3" t="s">
        <v>243</v>
      </c>
      <c r="B47" s="4" t="s">
        <v>338</v>
      </c>
      <c r="C47">
        <v>5</v>
      </c>
      <c r="D47">
        <v>70</v>
      </c>
      <c r="F47">
        <v>1</v>
      </c>
      <c r="G47">
        <v>0.12</v>
      </c>
      <c r="H47" t="s">
        <v>438</v>
      </c>
    </row>
    <row r="48" spans="1:8" x14ac:dyDescent="0.2">
      <c r="A48" s="3" t="s">
        <v>244</v>
      </c>
      <c r="B48" s="3" t="s">
        <v>339</v>
      </c>
      <c r="C48">
        <v>1</v>
      </c>
      <c r="D48">
        <v>83.9</v>
      </c>
      <c r="F48">
        <v>9</v>
      </c>
      <c r="G48">
        <v>0.18</v>
      </c>
    </row>
    <row r="49" spans="1:8" x14ac:dyDescent="0.2">
      <c r="A49" s="3" t="s">
        <v>162</v>
      </c>
      <c r="B49" s="3" t="s">
        <v>340</v>
      </c>
      <c r="C49" t="s">
        <v>439</v>
      </c>
      <c r="D49">
        <v>0.7</v>
      </c>
      <c r="F49">
        <v>2</v>
      </c>
      <c r="G49">
        <v>1.36</v>
      </c>
    </row>
    <row r="50" spans="1:8" ht="32" x14ac:dyDescent="0.2">
      <c r="A50" s="3" t="s">
        <v>245</v>
      </c>
      <c r="B50" s="4" t="s">
        <v>322</v>
      </c>
      <c r="C50">
        <v>5</v>
      </c>
      <c r="D50">
        <v>68.400000000000006</v>
      </c>
      <c r="F50">
        <v>1</v>
      </c>
      <c r="G50">
        <v>0.12</v>
      </c>
      <c r="H50" t="s">
        <v>438</v>
      </c>
    </row>
    <row r="51" spans="1:8" ht="32" x14ac:dyDescent="0.2">
      <c r="A51" s="3" t="s">
        <v>163</v>
      </c>
      <c r="B51" s="4" t="s">
        <v>341</v>
      </c>
      <c r="C51">
        <v>1</v>
      </c>
      <c r="D51">
        <v>93.6</v>
      </c>
      <c r="F51">
        <v>2</v>
      </c>
      <c r="G51">
        <v>0.09</v>
      </c>
    </row>
    <row r="52" spans="1:8" x14ac:dyDescent="0.2">
      <c r="A52" s="3" t="s">
        <v>246</v>
      </c>
      <c r="B52" s="3" t="s">
        <v>342</v>
      </c>
      <c r="C52">
        <v>10</v>
      </c>
      <c r="D52">
        <v>88.7</v>
      </c>
      <c r="F52">
        <v>2</v>
      </c>
      <c r="G52">
        <v>0.06</v>
      </c>
    </row>
    <row r="53" spans="1:8" x14ac:dyDescent="0.2">
      <c r="A53" s="3" t="s">
        <v>247</v>
      </c>
      <c r="B53" s="3" t="s">
        <v>343</v>
      </c>
      <c r="C53">
        <v>2</v>
      </c>
      <c r="D53">
        <v>50.1</v>
      </c>
      <c r="F53">
        <v>8</v>
      </c>
      <c r="G53">
        <v>0.18</v>
      </c>
    </row>
    <row r="54" spans="1:8" ht="32" x14ac:dyDescent="0.2">
      <c r="A54" s="3" t="s">
        <v>165</v>
      </c>
      <c r="B54" s="4" t="s">
        <v>344</v>
      </c>
      <c r="C54">
        <v>4</v>
      </c>
      <c r="D54">
        <v>54</v>
      </c>
      <c r="F54">
        <v>1</v>
      </c>
      <c r="G54">
        <v>0.11</v>
      </c>
      <c r="H54" t="s">
        <v>438</v>
      </c>
    </row>
    <row r="55" spans="1:8" x14ac:dyDescent="0.2">
      <c r="A55" s="3" t="s">
        <v>248</v>
      </c>
      <c r="B55" s="3" t="s">
        <v>345</v>
      </c>
      <c r="C55">
        <v>2</v>
      </c>
      <c r="D55">
        <v>83.3</v>
      </c>
      <c r="F55">
        <v>6</v>
      </c>
      <c r="G55">
        <v>0.21</v>
      </c>
    </row>
    <row r="56" spans="1:8" ht="32" x14ac:dyDescent="0.2">
      <c r="A56" s="3" t="s">
        <v>166</v>
      </c>
      <c r="B56" s="4" t="s">
        <v>346</v>
      </c>
      <c r="C56">
        <v>4</v>
      </c>
      <c r="D56">
        <v>57.3</v>
      </c>
      <c r="F56">
        <v>1</v>
      </c>
      <c r="G56">
        <v>0.15</v>
      </c>
      <c r="H56" t="s">
        <v>438</v>
      </c>
    </row>
    <row r="57" spans="1:8" x14ac:dyDescent="0.2">
      <c r="A57" s="6" t="s">
        <v>167</v>
      </c>
      <c r="B57" s="3" t="s">
        <v>347</v>
      </c>
      <c r="C57">
        <v>3</v>
      </c>
      <c r="D57">
        <v>51.8</v>
      </c>
      <c r="F57">
        <v>1</v>
      </c>
      <c r="G57">
        <v>0.64</v>
      </c>
      <c r="H57" t="s">
        <v>438</v>
      </c>
    </row>
    <row r="58" spans="1:8" x14ac:dyDescent="0.2">
      <c r="A58" s="6" t="s">
        <v>249</v>
      </c>
      <c r="B58" s="3" t="s">
        <v>348</v>
      </c>
      <c r="C58">
        <v>12</v>
      </c>
      <c r="D58">
        <v>47.1</v>
      </c>
      <c r="F58">
        <v>3</v>
      </c>
      <c r="G58">
        <v>0.13</v>
      </c>
    </row>
    <row r="59" spans="1:8" ht="64" x14ac:dyDescent="0.2">
      <c r="A59" s="3" t="s">
        <v>250</v>
      </c>
      <c r="B59" s="4" t="s">
        <v>349</v>
      </c>
      <c r="C59">
        <v>1</v>
      </c>
      <c r="D59">
        <v>98</v>
      </c>
      <c r="F59">
        <v>10</v>
      </c>
      <c r="G59">
        <v>0.14000000000000001</v>
      </c>
    </row>
    <row r="60" spans="1:8" x14ac:dyDescent="0.2">
      <c r="A60" s="6" t="s">
        <v>251</v>
      </c>
      <c r="B60" s="3" t="s">
        <v>350</v>
      </c>
      <c r="C60">
        <v>4</v>
      </c>
      <c r="D60">
        <v>75.7</v>
      </c>
      <c r="F60">
        <v>16</v>
      </c>
      <c r="G60">
        <v>0.5</v>
      </c>
    </row>
    <row r="61" spans="1:8" x14ac:dyDescent="0.2">
      <c r="A61" s="3" t="s">
        <v>175</v>
      </c>
      <c r="B61" s="3" t="s">
        <v>351</v>
      </c>
      <c r="C61" t="s">
        <v>439</v>
      </c>
      <c r="D61">
        <v>1.9</v>
      </c>
      <c r="F61" t="s">
        <v>439</v>
      </c>
      <c r="G61">
        <v>0.02</v>
      </c>
    </row>
    <row r="62" spans="1:8" ht="32" x14ac:dyDescent="0.2">
      <c r="A62" s="3" t="s">
        <v>176</v>
      </c>
      <c r="B62" s="4" t="s">
        <v>353</v>
      </c>
      <c r="C62">
        <v>2</v>
      </c>
      <c r="D62">
        <v>0.8</v>
      </c>
      <c r="F62">
        <v>1</v>
      </c>
      <c r="G62">
        <v>0.02</v>
      </c>
    </row>
    <row r="63" spans="1:8" x14ac:dyDescent="0.2">
      <c r="A63" s="3" t="s">
        <v>252</v>
      </c>
      <c r="B63" s="3" t="s">
        <v>354</v>
      </c>
      <c r="C63">
        <v>1</v>
      </c>
      <c r="D63">
        <v>1.8</v>
      </c>
      <c r="F63">
        <v>1</v>
      </c>
      <c r="G63">
        <v>0.02</v>
      </c>
    </row>
    <row r="64" spans="1:8" x14ac:dyDescent="0.2">
      <c r="A64" s="3" t="s">
        <v>45</v>
      </c>
      <c r="B64" s="3" t="s">
        <v>355</v>
      </c>
      <c r="C64">
        <v>1</v>
      </c>
      <c r="D64">
        <v>0.5</v>
      </c>
      <c r="F64">
        <v>1</v>
      </c>
      <c r="G64">
        <v>0.02</v>
      </c>
    </row>
    <row r="65" spans="1:8" x14ac:dyDescent="0.2">
      <c r="A65" s="3" t="s">
        <v>177</v>
      </c>
      <c r="B65" s="3" t="s">
        <v>352</v>
      </c>
      <c r="C65">
        <v>2</v>
      </c>
      <c r="D65">
        <v>0.7</v>
      </c>
      <c r="F65">
        <v>1</v>
      </c>
      <c r="G65">
        <v>0.02</v>
      </c>
    </row>
    <row r="66" spans="1:8" x14ac:dyDescent="0.2">
      <c r="A66" s="6" t="s">
        <v>297</v>
      </c>
      <c r="B66" s="3" t="s">
        <v>356</v>
      </c>
      <c r="C66">
        <v>4</v>
      </c>
      <c r="D66">
        <v>1</v>
      </c>
      <c r="F66">
        <v>1</v>
      </c>
      <c r="G66">
        <v>0.01</v>
      </c>
    </row>
    <row r="67" spans="1:8" x14ac:dyDescent="0.2">
      <c r="A67" s="3" t="s">
        <v>178</v>
      </c>
      <c r="B67" s="3" t="s">
        <v>357</v>
      </c>
      <c r="C67" t="s">
        <v>439</v>
      </c>
      <c r="D67">
        <v>4.2</v>
      </c>
      <c r="F67" t="s">
        <v>439</v>
      </c>
      <c r="G67">
        <v>0.02</v>
      </c>
    </row>
    <row r="68" spans="1:8" x14ac:dyDescent="0.2">
      <c r="A68" s="3" t="s">
        <v>179</v>
      </c>
      <c r="B68" s="3" t="s">
        <v>358</v>
      </c>
      <c r="C68">
        <v>1</v>
      </c>
      <c r="D68">
        <v>7.3</v>
      </c>
      <c r="F68">
        <v>1</v>
      </c>
      <c r="G68">
        <v>0.06</v>
      </c>
    </row>
    <row r="69" spans="1:8" x14ac:dyDescent="0.2">
      <c r="A69" s="3" t="s">
        <v>253</v>
      </c>
      <c r="B69" s="3" t="s">
        <v>359</v>
      </c>
      <c r="C69" t="s">
        <v>439</v>
      </c>
      <c r="D69">
        <v>0.2</v>
      </c>
      <c r="F69">
        <v>3</v>
      </c>
      <c r="G69">
        <v>0.06</v>
      </c>
    </row>
    <row r="70" spans="1:8" x14ac:dyDescent="0.2">
      <c r="A70" s="3" t="s">
        <v>190</v>
      </c>
      <c r="B70" s="3" t="s">
        <v>360</v>
      </c>
      <c r="C70">
        <v>1</v>
      </c>
      <c r="D70">
        <v>7.3</v>
      </c>
      <c r="F70">
        <v>1</v>
      </c>
      <c r="G70">
        <v>0.06</v>
      </c>
    </row>
    <row r="71" spans="1:8" ht="32" x14ac:dyDescent="0.2">
      <c r="A71" s="3" t="s">
        <v>298</v>
      </c>
      <c r="B71" s="4" t="s">
        <v>361</v>
      </c>
      <c r="C71">
        <v>1</v>
      </c>
      <c r="D71">
        <v>7.8</v>
      </c>
      <c r="F71">
        <v>2</v>
      </c>
      <c r="G71">
        <v>0.04</v>
      </c>
    </row>
    <row r="72" spans="1:8" x14ac:dyDescent="0.2">
      <c r="A72" s="3" t="s">
        <v>192</v>
      </c>
      <c r="B72" s="3" t="s">
        <v>362</v>
      </c>
      <c r="C72">
        <v>1</v>
      </c>
      <c r="D72">
        <v>7.4</v>
      </c>
      <c r="F72">
        <v>1</v>
      </c>
      <c r="G72">
        <v>0.04</v>
      </c>
    </row>
    <row r="73" spans="1:8" x14ac:dyDescent="0.2">
      <c r="A73" s="3" t="s">
        <v>254</v>
      </c>
      <c r="B73" s="3" t="s">
        <v>363</v>
      </c>
      <c r="C73">
        <v>3</v>
      </c>
      <c r="D73">
        <v>14.9</v>
      </c>
      <c r="F73">
        <v>1</v>
      </c>
      <c r="G73">
        <v>0.06</v>
      </c>
    </row>
    <row r="74" spans="1:8" x14ac:dyDescent="0.2">
      <c r="A74" s="6" t="s">
        <v>255</v>
      </c>
      <c r="B74" s="3" t="s">
        <v>364</v>
      </c>
      <c r="C74">
        <v>1</v>
      </c>
      <c r="D74">
        <v>13.2</v>
      </c>
      <c r="F74" t="s">
        <v>439</v>
      </c>
      <c r="G74">
        <v>0.03</v>
      </c>
    </row>
    <row r="75" spans="1:8" x14ac:dyDescent="0.2">
      <c r="A75" s="3" t="s">
        <v>70</v>
      </c>
      <c r="B75" s="3" t="s">
        <v>365</v>
      </c>
      <c r="C75">
        <v>1</v>
      </c>
      <c r="D75">
        <v>8.3000000000000007</v>
      </c>
      <c r="F75">
        <v>1</v>
      </c>
      <c r="G75">
        <v>7.0000000000000007E-2</v>
      </c>
    </row>
    <row r="76" spans="1:8" s="11" customFormat="1" ht="32" x14ac:dyDescent="0.2">
      <c r="A76" s="10" t="s">
        <v>193</v>
      </c>
      <c r="B76" s="12" t="s">
        <v>366</v>
      </c>
      <c r="C76" s="11" t="s">
        <v>439</v>
      </c>
      <c r="D76" s="11">
        <v>0.2</v>
      </c>
      <c r="F76" s="11" t="s">
        <v>439</v>
      </c>
      <c r="G76" s="11">
        <v>0.06</v>
      </c>
    </row>
    <row r="77" spans="1:8" x14ac:dyDescent="0.2">
      <c r="A77" s="3" t="s">
        <v>256</v>
      </c>
      <c r="B77" s="3" t="s">
        <v>367</v>
      </c>
      <c r="C77">
        <v>1</v>
      </c>
      <c r="D77">
        <v>9.1999999999999993</v>
      </c>
      <c r="F77">
        <v>1</v>
      </c>
      <c r="G77">
        <v>0.08</v>
      </c>
    </row>
    <row r="78" spans="1:8" x14ac:dyDescent="0.2">
      <c r="A78" s="3" t="s">
        <v>194</v>
      </c>
      <c r="B78" s="3" t="s">
        <v>368</v>
      </c>
      <c r="C78">
        <v>3</v>
      </c>
      <c r="D78">
        <v>9.3000000000000007</v>
      </c>
      <c r="F78">
        <v>1</v>
      </c>
      <c r="G78">
        <v>7.0000000000000007E-2</v>
      </c>
    </row>
    <row r="79" spans="1:8" s="11" customFormat="1" ht="48" x14ac:dyDescent="0.2">
      <c r="A79" s="10" t="s">
        <v>257</v>
      </c>
      <c r="B79" s="12" t="s">
        <v>369</v>
      </c>
      <c r="C79" s="11" t="s">
        <v>439</v>
      </c>
      <c r="D79" s="11">
        <v>0.3</v>
      </c>
      <c r="F79" s="11" t="s">
        <v>439</v>
      </c>
      <c r="G79" s="11">
        <v>0.01</v>
      </c>
    </row>
    <row r="80" spans="1:8" ht="32" x14ac:dyDescent="0.2">
      <c r="A80" s="3" t="s">
        <v>195</v>
      </c>
      <c r="B80" s="4" t="s">
        <v>370</v>
      </c>
      <c r="C80">
        <v>1</v>
      </c>
      <c r="D80">
        <v>7.4</v>
      </c>
      <c r="F80">
        <v>1</v>
      </c>
      <c r="G80">
        <v>0.1</v>
      </c>
      <c r="H80" t="s">
        <v>438</v>
      </c>
    </row>
    <row r="81" spans="1:8" x14ac:dyDescent="0.2">
      <c r="A81" s="3" t="s">
        <v>258</v>
      </c>
      <c r="B81" s="3" t="s">
        <v>371</v>
      </c>
      <c r="C81">
        <v>1</v>
      </c>
      <c r="D81">
        <v>7.1</v>
      </c>
      <c r="F81">
        <v>1</v>
      </c>
      <c r="G81">
        <v>0.06</v>
      </c>
    </row>
    <row r="82" spans="1:8" x14ac:dyDescent="0.2">
      <c r="A82" s="3" t="s">
        <v>196</v>
      </c>
      <c r="B82" s="3" t="s">
        <v>372</v>
      </c>
      <c r="C82">
        <v>3</v>
      </c>
      <c r="D82">
        <v>9.8000000000000007</v>
      </c>
      <c r="F82">
        <v>1</v>
      </c>
      <c r="G82">
        <v>0.08</v>
      </c>
    </row>
    <row r="83" spans="1:8" x14ac:dyDescent="0.2">
      <c r="A83" s="3" t="s">
        <v>197</v>
      </c>
      <c r="B83" s="3" t="s">
        <v>373</v>
      </c>
      <c r="C83">
        <v>2</v>
      </c>
      <c r="D83">
        <v>10.8</v>
      </c>
      <c r="F83">
        <v>1</v>
      </c>
      <c r="G83">
        <v>0.05</v>
      </c>
    </row>
    <row r="84" spans="1:8" ht="48" x14ac:dyDescent="0.2">
      <c r="A84" s="3" t="s">
        <v>180</v>
      </c>
      <c r="B84" s="4" t="s">
        <v>374</v>
      </c>
      <c r="C84">
        <v>1</v>
      </c>
      <c r="D84">
        <v>6</v>
      </c>
      <c r="F84">
        <v>1</v>
      </c>
      <c r="G84">
        <v>0.21</v>
      </c>
      <c r="H84" t="s">
        <v>438</v>
      </c>
    </row>
    <row r="85" spans="1:8" x14ac:dyDescent="0.2">
      <c r="A85" s="3" t="s">
        <v>181</v>
      </c>
      <c r="B85" s="3" t="s">
        <v>375</v>
      </c>
      <c r="C85">
        <v>3</v>
      </c>
      <c r="D85">
        <v>8.9</v>
      </c>
      <c r="F85">
        <v>1</v>
      </c>
      <c r="G85">
        <v>7.0000000000000007E-2</v>
      </c>
    </row>
    <row r="86" spans="1:8" x14ac:dyDescent="0.2">
      <c r="A86" s="3" t="s">
        <v>182</v>
      </c>
      <c r="B86" s="3" t="s">
        <v>376</v>
      </c>
      <c r="C86">
        <v>1</v>
      </c>
      <c r="D86">
        <v>7.3</v>
      </c>
      <c r="F86">
        <v>1</v>
      </c>
      <c r="G86">
        <v>0.05</v>
      </c>
    </row>
    <row r="87" spans="1:8" x14ac:dyDescent="0.2">
      <c r="A87" s="3" t="s">
        <v>183</v>
      </c>
      <c r="B87" s="3" t="s">
        <v>377</v>
      </c>
      <c r="C87">
        <v>1</v>
      </c>
      <c r="D87">
        <v>11.6</v>
      </c>
      <c r="F87">
        <v>1</v>
      </c>
      <c r="G87">
        <v>0.03</v>
      </c>
    </row>
    <row r="88" spans="1:8" ht="32" x14ac:dyDescent="0.2">
      <c r="A88" s="3" t="s">
        <v>184</v>
      </c>
      <c r="B88" s="4" t="s">
        <v>378</v>
      </c>
      <c r="C88">
        <v>1</v>
      </c>
      <c r="D88">
        <v>7.4</v>
      </c>
      <c r="F88">
        <v>1</v>
      </c>
      <c r="G88">
        <v>0.09</v>
      </c>
      <c r="H88" t="s">
        <v>438</v>
      </c>
    </row>
    <row r="89" spans="1:8" x14ac:dyDescent="0.2">
      <c r="A89" s="3" t="s">
        <v>259</v>
      </c>
      <c r="B89" s="3" t="s">
        <v>358</v>
      </c>
      <c r="C89">
        <v>1</v>
      </c>
      <c r="D89">
        <v>7.3</v>
      </c>
      <c r="F89">
        <v>1</v>
      </c>
      <c r="G89">
        <v>0.05</v>
      </c>
    </row>
    <row r="90" spans="1:8" x14ac:dyDescent="0.2">
      <c r="A90" s="3" t="s">
        <v>185</v>
      </c>
      <c r="B90" s="3" t="s">
        <v>375</v>
      </c>
      <c r="C90">
        <v>3</v>
      </c>
      <c r="D90">
        <v>13.6</v>
      </c>
      <c r="F90">
        <v>1</v>
      </c>
      <c r="G90">
        <v>7.0000000000000007E-2</v>
      </c>
    </row>
    <row r="91" spans="1:8" s="11" customFormat="1" ht="80" x14ac:dyDescent="0.2">
      <c r="A91" s="10" t="s">
        <v>260</v>
      </c>
      <c r="B91" s="12" t="s">
        <v>379</v>
      </c>
      <c r="C91" s="11" t="s">
        <v>439</v>
      </c>
      <c r="D91" s="11">
        <v>9.6999999999999993</v>
      </c>
      <c r="F91" s="11" t="s">
        <v>439</v>
      </c>
      <c r="G91" s="11">
        <v>0.01</v>
      </c>
    </row>
    <row r="92" spans="1:8" x14ac:dyDescent="0.2">
      <c r="A92" s="3" t="s">
        <v>186</v>
      </c>
      <c r="B92" s="3" t="s">
        <v>380</v>
      </c>
      <c r="C92">
        <v>1</v>
      </c>
      <c r="D92">
        <v>7.4</v>
      </c>
      <c r="F92">
        <v>1</v>
      </c>
      <c r="G92">
        <v>0.05</v>
      </c>
    </row>
    <row r="93" spans="1:8" x14ac:dyDescent="0.2">
      <c r="A93" s="3" t="s">
        <v>187</v>
      </c>
      <c r="B93" s="3" t="s">
        <v>381</v>
      </c>
      <c r="C93">
        <v>1</v>
      </c>
      <c r="D93">
        <v>6.8</v>
      </c>
      <c r="F93">
        <v>1</v>
      </c>
      <c r="G93">
        <v>0.09</v>
      </c>
      <c r="H93" t="s">
        <v>438</v>
      </c>
    </row>
    <row r="94" spans="1:8" x14ac:dyDescent="0.2">
      <c r="A94" s="3" t="s">
        <v>261</v>
      </c>
      <c r="B94" s="3" t="s">
        <v>358</v>
      </c>
      <c r="C94">
        <v>1</v>
      </c>
      <c r="D94">
        <v>7.3</v>
      </c>
      <c r="F94">
        <v>1</v>
      </c>
      <c r="G94">
        <v>0.05</v>
      </c>
    </row>
    <row r="95" spans="1:8" ht="32" x14ac:dyDescent="0.2">
      <c r="A95" s="3" t="s">
        <v>262</v>
      </c>
      <c r="B95" s="4" t="s">
        <v>382</v>
      </c>
      <c r="C95">
        <v>1</v>
      </c>
      <c r="D95">
        <v>7.8</v>
      </c>
      <c r="F95">
        <v>2</v>
      </c>
      <c r="G95">
        <v>0.03</v>
      </c>
    </row>
    <row r="96" spans="1:8" x14ac:dyDescent="0.2">
      <c r="A96" s="3" t="s">
        <v>188</v>
      </c>
      <c r="B96" s="3" t="s">
        <v>383</v>
      </c>
      <c r="C96">
        <v>3</v>
      </c>
      <c r="D96">
        <v>14.2</v>
      </c>
      <c r="F96">
        <v>1</v>
      </c>
      <c r="G96">
        <v>0.03</v>
      </c>
    </row>
    <row r="97" spans="1:8" x14ac:dyDescent="0.2">
      <c r="A97" s="3" t="s">
        <v>263</v>
      </c>
      <c r="B97" s="3" t="s">
        <v>384</v>
      </c>
      <c r="C97">
        <v>3</v>
      </c>
      <c r="D97">
        <v>103.8</v>
      </c>
      <c r="F97">
        <v>1</v>
      </c>
      <c r="G97">
        <v>0.09</v>
      </c>
    </row>
    <row r="98" spans="1:8" x14ac:dyDescent="0.2">
      <c r="A98" s="3" t="s">
        <v>264</v>
      </c>
      <c r="B98" s="3" t="s">
        <v>385</v>
      </c>
      <c r="C98">
        <v>1</v>
      </c>
      <c r="D98">
        <v>44.2</v>
      </c>
      <c r="F98">
        <v>3</v>
      </c>
      <c r="G98">
        <v>0.55000000000000004</v>
      </c>
    </row>
    <row r="99" spans="1:8" x14ac:dyDescent="0.2">
      <c r="A99" s="3" t="s">
        <v>265</v>
      </c>
      <c r="B99" s="3" t="s">
        <v>386</v>
      </c>
      <c r="C99">
        <v>1</v>
      </c>
      <c r="D99">
        <v>29.5</v>
      </c>
      <c r="F99">
        <v>2</v>
      </c>
      <c r="G99">
        <v>0.04</v>
      </c>
    </row>
    <row r="100" spans="1:8" ht="64" x14ac:dyDescent="0.2">
      <c r="A100" s="3" t="s">
        <v>189</v>
      </c>
      <c r="B100" s="4" t="s">
        <v>387</v>
      </c>
      <c r="C100">
        <v>1</v>
      </c>
      <c r="D100">
        <v>7.7</v>
      </c>
      <c r="F100">
        <v>2</v>
      </c>
      <c r="G100">
        <v>0.1</v>
      </c>
    </row>
    <row r="101" spans="1:8" x14ac:dyDescent="0.2">
      <c r="A101" s="3" t="s">
        <v>191</v>
      </c>
      <c r="B101" s="3" t="s">
        <v>388</v>
      </c>
      <c r="C101">
        <v>4</v>
      </c>
      <c r="D101">
        <v>8.3000000000000007</v>
      </c>
      <c r="F101">
        <v>1</v>
      </c>
      <c r="G101">
        <v>0.03</v>
      </c>
    </row>
    <row r="102" spans="1:8" ht="48" x14ac:dyDescent="0.2">
      <c r="A102" s="3" t="s">
        <v>266</v>
      </c>
      <c r="B102" s="4" t="s">
        <v>389</v>
      </c>
      <c r="C102">
        <v>1</v>
      </c>
      <c r="D102">
        <v>8.3000000000000007</v>
      </c>
      <c r="F102">
        <v>2</v>
      </c>
      <c r="G102">
        <v>0.09</v>
      </c>
    </row>
    <row r="103" spans="1:8" ht="32" x14ac:dyDescent="0.2">
      <c r="A103" s="3" t="s">
        <v>267</v>
      </c>
      <c r="B103" s="4" t="s">
        <v>392</v>
      </c>
      <c r="C103">
        <v>1</v>
      </c>
      <c r="D103">
        <v>7.6</v>
      </c>
      <c r="F103">
        <v>2</v>
      </c>
      <c r="G103">
        <v>0.03</v>
      </c>
    </row>
    <row r="104" spans="1:8" x14ac:dyDescent="0.2">
      <c r="A104" s="8" t="s">
        <v>198</v>
      </c>
      <c r="B104" s="3" t="s">
        <v>390</v>
      </c>
      <c r="C104">
        <v>1</v>
      </c>
      <c r="D104">
        <v>1.6</v>
      </c>
      <c r="F104">
        <v>1</v>
      </c>
      <c r="G104">
        <v>0.02</v>
      </c>
      <c r="H104" t="s">
        <v>438</v>
      </c>
    </row>
    <row r="105" spans="1:8" ht="32" x14ac:dyDescent="0.2">
      <c r="A105" s="3" t="s">
        <v>268</v>
      </c>
      <c r="B105" s="4" t="s">
        <v>391</v>
      </c>
      <c r="C105">
        <v>1</v>
      </c>
      <c r="D105">
        <v>2.9</v>
      </c>
      <c r="F105">
        <v>1</v>
      </c>
      <c r="G105">
        <v>0.04</v>
      </c>
    </row>
    <row r="106" spans="1:8" x14ac:dyDescent="0.2">
      <c r="A106" s="3" t="s">
        <v>76</v>
      </c>
      <c r="B106" s="3" t="s">
        <v>393</v>
      </c>
      <c r="C106">
        <v>1</v>
      </c>
      <c r="D106">
        <v>2.8</v>
      </c>
      <c r="F106">
        <v>4</v>
      </c>
      <c r="G106">
        <v>0.04</v>
      </c>
    </row>
    <row r="107" spans="1:8" x14ac:dyDescent="0.2">
      <c r="A107" s="9" t="s">
        <v>199</v>
      </c>
      <c r="B107" s="3" t="s">
        <v>394</v>
      </c>
      <c r="C107">
        <v>1</v>
      </c>
      <c r="D107">
        <v>2.7</v>
      </c>
      <c r="F107">
        <v>1</v>
      </c>
      <c r="G107">
        <v>0.66</v>
      </c>
      <c r="H107" t="s">
        <v>438</v>
      </c>
    </row>
    <row r="108" spans="1:8" x14ac:dyDescent="0.2">
      <c r="A108" s="9" t="s">
        <v>200</v>
      </c>
      <c r="B108" s="3" t="s">
        <v>395</v>
      </c>
      <c r="C108">
        <v>3</v>
      </c>
      <c r="D108">
        <v>4.7</v>
      </c>
      <c r="F108">
        <v>3</v>
      </c>
      <c r="G108">
        <v>0.02</v>
      </c>
    </row>
    <row r="109" spans="1:8" s="11" customFormat="1" x14ac:dyDescent="0.2">
      <c r="A109" s="10" t="s">
        <v>269</v>
      </c>
      <c r="B109" s="10" t="s">
        <v>396</v>
      </c>
      <c r="C109" s="11" t="s">
        <v>439</v>
      </c>
      <c r="D109" s="11">
        <v>0</v>
      </c>
      <c r="F109" s="11" t="s">
        <v>439</v>
      </c>
      <c r="G109" s="11">
        <v>0.01</v>
      </c>
    </row>
    <row r="110" spans="1:8" s="11" customFormat="1" x14ac:dyDescent="0.2">
      <c r="A110" s="10" t="s">
        <v>201</v>
      </c>
      <c r="B110" s="10" t="s">
        <v>397</v>
      </c>
      <c r="C110" s="11" t="s">
        <v>439</v>
      </c>
      <c r="D110" s="11">
        <v>0</v>
      </c>
      <c r="F110" s="11" t="s">
        <v>439</v>
      </c>
      <c r="G110" s="11">
        <v>0.01</v>
      </c>
    </row>
    <row r="111" spans="1:8" s="11" customFormat="1" x14ac:dyDescent="0.2">
      <c r="A111" s="10" t="s">
        <v>270</v>
      </c>
      <c r="B111" s="10" t="s">
        <v>398</v>
      </c>
      <c r="C111" s="11" t="s">
        <v>439</v>
      </c>
      <c r="D111" s="11">
        <v>0</v>
      </c>
      <c r="F111" s="11" t="s">
        <v>439</v>
      </c>
      <c r="G111" s="11">
        <v>0.01</v>
      </c>
    </row>
    <row r="112" spans="1:8" x14ac:dyDescent="0.2">
      <c r="A112" s="3" t="s">
        <v>271</v>
      </c>
      <c r="B112" s="3" t="s">
        <v>399</v>
      </c>
      <c r="C112">
        <v>9</v>
      </c>
      <c r="D112">
        <v>2.1</v>
      </c>
      <c r="F112">
        <v>3</v>
      </c>
      <c r="G112">
        <v>0.02</v>
      </c>
    </row>
    <row r="113" spans="1:8" x14ac:dyDescent="0.2">
      <c r="A113" s="3" t="s">
        <v>202</v>
      </c>
      <c r="B113" s="3" t="s">
        <v>400</v>
      </c>
      <c r="C113">
        <v>16</v>
      </c>
      <c r="D113">
        <v>3</v>
      </c>
      <c r="F113">
        <v>2</v>
      </c>
      <c r="G113">
        <v>0.03</v>
      </c>
    </row>
    <row r="114" spans="1:8" x14ac:dyDescent="0.2">
      <c r="A114" s="3" t="s">
        <v>203</v>
      </c>
      <c r="B114" s="3" t="s">
        <v>401</v>
      </c>
      <c r="C114">
        <v>13</v>
      </c>
      <c r="D114">
        <v>2.6</v>
      </c>
      <c r="F114">
        <v>6</v>
      </c>
      <c r="G114">
        <v>0.06</v>
      </c>
    </row>
    <row r="115" spans="1:8" x14ac:dyDescent="0.2">
      <c r="A115" s="3" t="s">
        <v>272</v>
      </c>
      <c r="B115" s="3" t="s">
        <v>402</v>
      </c>
      <c r="C115">
        <v>9</v>
      </c>
      <c r="D115">
        <v>2.6</v>
      </c>
      <c r="F115">
        <v>1</v>
      </c>
      <c r="G115">
        <v>0.03</v>
      </c>
    </row>
    <row r="116" spans="1:8" x14ac:dyDescent="0.2">
      <c r="A116" s="3" t="s">
        <v>204</v>
      </c>
      <c r="B116" s="3" t="s">
        <v>403</v>
      </c>
      <c r="C116">
        <v>14</v>
      </c>
      <c r="D116">
        <v>2.7</v>
      </c>
      <c r="F116">
        <v>4</v>
      </c>
      <c r="G116">
        <v>0.05</v>
      </c>
    </row>
    <row r="117" spans="1:8" x14ac:dyDescent="0.2">
      <c r="A117" s="3" t="s">
        <v>205</v>
      </c>
      <c r="B117" s="3" t="s">
        <v>404</v>
      </c>
      <c r="C117">
        <v>1</v>
      </c>
      <c r="D117">
        <v>2.9</v>
      </c>
      <c r="F117">
        <v>1</v>
      </c>
      <c r="G117">
        <v>0.53</v>
      </c>
      <c r="H117" t="s">
        <v>438</v>
      </c>
    </row>
    <row r="118" spans="1:8" x14ac:dyDescent="0.2">
      <c r="A118" s="3" t="s">
        <v>273</v>
      </c>
      <c r="B118" s="3" t="s">
        <v>405</v>
      </c>
      <c r="C118">
        <v>1</v>
      </c>
      <c r="D118">
        <v>3.1</v>
      </c>
      <c r="F118">
        <v>5</v>
      </c>
      <c r="G118">
        <v>0.05</v>
      </c>
    </row>
    <row r="119" spans="1:8" x14ac:dyDescent="0.2">
      <c r="A119" s="3" t="s">
        <v>274</v>
      </c>
      <c r="B119" s="3" t="s">
        <v>406</v>
      </c>
      <c r="C119">
        <v>1</v>
      </c>
      <c r="D119">
        <v>2.9</v>
      </c>
      <c r="F119">
        <v>2</v>
      </c>
      <c r="G119">
        <v>0.06</v>
      </c>
    </row>
    <row r="120" spans="1:8" x14ac:dyDescent="0.2">
      <c r="A120" s="9" t="s">
        <v>275</v>
      </c>
      <c r="B120" s="3" t="s">
        <v>407</v>
      </c>
      <c r="C120">
        <v>1</v>
      </c>
      <c r="D120">
        <v>1.8</v>
      </c>
      <c r="F120">
        <v>1</v>
      </c>
      <c r="G120">
        <v>0.05</v>
      </c>
      <c r="H120" t="s">
        <v>438</v>
      </c>
    </row>
    <row r="121" spans="1:8" x14ac:dyDescent="0.2">
      <c r="A121" s="9" t="s">
        <v>276</v>
      </c>
      <c r="B121" s="3" t="s">
        <v>408</v>
      </c>
      <c r="C121">
        <v>1</v>
      </c>
      <c r="D121">
        <v>1.5</v>
      </c>
      <c r="F121">
        <v>1</v>
      </c>
      <c r="G121">
        <v>0.06</v>
      </c>
    </row>
    <row r="122" spans="1:8" ht="80" x14ac:dyDescent="0.2">
      <c r="A122" s="6" t="s">
        <v>206</v>
      </c>
      <c r="B122" s="4" t="s">
        <v>409</v>
      </c>
      <c r="C122">
        <v>1</v>
      </c>
      <c r="D122">
        <v>4.0999999999999996</v>
      </c>
      <c r="F122">
        <v>1</v>
      </c>
      <c r="G122">
        <v>0.04</v>
      </c>
    </row>
    <row r="123" spans="1:8" x14ac:dyDescent="0.2">
      <c r="A123" s="3" t="s">
        <v>207</v>
      </c>
      <c r="B123" s="3" t="s">
        <v>410</v>
      </c>
      <c r="C123">
        <v>11</v>
      </c>
      <c r="D123">
        <v>1.4</v>
      </c>
      <c r="F123" t="s">
        <v>439</v>
      </c>
      <c r="G123">
        <v>0.01</v>
      </c>
    </row>
    <row r="124" spans="1:8" x14ac:dyDescent="0.2">
      <c r="A124" s="3" t="s">
        <v>208</v>
      </c>
      <c r="B124" s="3" t="s">
        <v>411</v>
      </c>
      <c r="C124">
        <v>3</v>
      </c>
      <c r="D124">
        <v>25.7</v>
      </c>
      <c r="F124">
        <v>1</v>
      </c>
      <c r="G124">
        <v>0.08</v>
      </c>
    </row>
    <row r="125" spans="1:8" x14ac:dyDescent="0.2">
      <c r="A125" s="3" t="s">
        <v>219</v>
      </c>
      <c r="B125" s="3" t="s">
        <v>411</v>
      </c>
      <c r="C125">
        <v>3</v>
      </c>
      <c r="D125">
        <v>26.5</v>
      </c>
      <c r="F125">
        <v>1</v>
      </c>
      <c r="G125">
        <v>0.06</v>
      </c>
    </row>
    <row r="126" spans="1:8" x14ac:dyDescent="0.2">
      <c r="A126" s="9" t="s">
        <v>277</v>
      </c>
      <c r="B126" s="3" t="s">
        <v>412</v>
      </c>
      <c r="C126">
        <v>2</v>
      </c>
      <c r="D126">
        <v>46.9</v>
      </c>
      <c r="F126">
        <v>3</v>
      </c>
      <c r="G126">
        <v>0.14000000000000001</v>
      </c>
    </row>
    <row r="127" spans="1:8" ht="64" x14ac:dyDescent="0.2">
      <c r="A127" s="3" t="s">
        <v>220</v>
      </c>
      <c r="B127" s="4" t="s">
        <v>413</v>
      </c>
      <c r="C127">
        <v>1</v>
      </c>
      <c r="D127">
        <v>81.099999999999994</v>
      </c>
      <c r="F127">
        <v>1</v>
      </c>
      <c r="G127">
        <v>0.04</v>
      </c>
    </row>
    <row r="128" spans="1:8" x14ac:dyDescent="0.2">
      <c r="A128" s="3" t="s">
        <v>278</v>
      </c>
      <c r="B128" s="3" t="s">
        <v>414</v>
      </c>
      <c r="C128">
        <v>1</v>
      </c>
      <c r="D128">
        <v>65.400000000000006</v>
      </c>
      <c r="F128">
        <v>1</v>
      </c>
      <c r="G128">
        <v>0.23</v>
      </c>
    </row>
    <row r="129" spans="1:7" x14ac:dyDescent="0.2">
      <c r="A129" s="3" t="s">
        <v>221</v>
      </c>
      <c r="B129" s="3" t="s">
        <v>415</v>
      </c>
      <c r="C129">
        <v>3</v>
      </c>
      <c r="D129">
        <v>25.8</v>
      </c>
      <c r="F129">
        <v>1</v>
      </c>
      <c r="G129">
        <v>0.05</v>
      </c>
    </row>
    <row r="130" spans="1:7" x14ac:dyDescent="0.2">
      <c r="A130" s="3" t="s">
        <v>222</v>
      </c>
      <c r="B130" s="3" t="s">
        <v>411</v>
      </c>
      <c r="C130">
        <v>3</v>
      </c>
      <c r="D130">
        <v>26.5</v>
      </c>
      <c r="F130">
        <v>1</v>
      </c>
      <c r="G130">
        <v>0.56000000000000005</v>
      </c>
    </row>
    <row r="131" spans="1:7" x14ac:dyDescent="0.2">
      <c r="A131" s="9" t="s">
        <v>223</v>
      </c>
      <c r="B131" s="3" t="s">
        <v>416</v>
      </c>
      <c r="C131">
        <v>1</v>
      </c>
      <c r="D131">
        <v>30.2</v>
      </c>
      <c r="F131">
        <v>1</v>
      </c>
      <c r="G131">
        <v>0.66</v>
      </c>
    </row>
    <row r="132" spans="1:7" x14ac:dyDescent="0.2">
      <c r="A132" s="9" t="s">
        <v>279</v>
      </c>
      <c r="B132" s="3" t="s">
        <v>417</v>
      </c>
      <c r="C132">
        <v>1</v>
      </c>
      <c r="D132">
        <v>31.7</v>
      </c>
      <c r="F132">
        <v>1</v>
      </c>
      <c r="G132">
        <v>0.52</v>
      </c>
    </row>
    <row r="133" spans="1:7" ht="64" x14ac:dyDescent="0.2">
      <c r="A133" s="6" t="s">
        <v>280</v>
      </c>
      <c r="B133" s="4" t="s">
        <v>418</v>
      </c>
      <c r="C133">
        <v>1</v>
      </c>
      <c r="D133">
        <v>29.1</v>
      </c>
      <c r="F133">
        <v>1</v>
      </c>
      <c r="G133">
        <v>0.05</v>
      </c>
    </row>
    <row r="134" spans="1:7" x14ac:dyDescent="0.2">
      <c r="A134" s="3" t="s">
        <v>281</v>
      </c>
      <c r="B134" s="3" t="s">
        <v>419</v>
      </c>
      <c r="C134">
        <v>3</v>
      </c>
      <c r="D134">
        <v>31.2</v>
      </c>
      <c r="F134">
        <v>1</v>
      </c>
      <c r="G134">
        <v>7.0000000000000007E-2</v>
      </c>
    </row>
    <row r="135" spans="1:7" ht="64" x14ac:dyDescent="0.2">
      <c r="A135" s="6" t="s">
        <v>224</v>
      </c>
      <c r="B135" s="4" t="s">
        <v>420</v>
      </c>
      <c r="C135">
        <v>1</v>
      </c>
      <c r="D135">
        <v>58.7</v>
      </c>
      <c r="F135">
        <v>1</v>
      </c>
      <c r="G135">
        <v>0.05</v>
      </c>
    </row>
    <row r="136" spans="1:7" x14ac:dyDescent="0.2">
      <c r="A136" s="3" t="s">
        <v>282</v>
      </c>
      <c r="B136" s="3" t="s">
        <v>421</v>
      </c>
      <c r="C136">
        <v>1</v>
      </c>
      <c r="D136">
        <v>34.1</v>
      </c>
      <c r="F136">
        <v>1</v>
      </c>
      <c r="G136">
        <v>0.08</v>
      </c>
    </row>
    <row r="137" spans="1:7" x14ac:dyDescent="0.2">
      <c r="A137" s="3" t="s">
        <v>225</v>
      </c>
      <c r="B137" s="3" t="s">
        <v>421</v>
      </c>
      <c r="C137">
        <v>1</v>
      </c>
      <c r="D137">
        <v>35</v>
      </c>
      <c r="F137">
        <v>1</v>
      </c>
      <c r="G137">
        <v>0.08</v>
      </c>
    </row>
    <row r="138" spans="1:7" ht="32" x14ac:dyDescent="0.2">
      <c r="A138" s="9" t="s">
        <v>226</v>
      </c>
      <c r="B138" s="4" t="s">
        <v>422</v>
      </c>
      <c r="C138">
        <v>1</v>
      </c>
      <c r="D138">
        <v>47.4</v>
      </c>
      <c r="F138">
        <v>13</v>
      </c>
      <c r="G138">
        <v>0.12</v>
      </c>
    </row>
    <row r="139" spans="1:7" x14ac:dyDescent="0.2">
      <c r="A139" s="3" t="s">
        <v>209</v>
      </c>
      <c r="B139" s="3" t="s">
        <v>411</v>
      </c>
      <c r="C139">
        <v>3</v>
      </c>
      <c r="D139">
        <v>31.2</v>
      </c>
      <c r="F139">
        <v>1</v>
      </c>
      <c r="G139">
        <v>0.08</v>
      </c>
    </row>
    <row r="140" spans="1:7" x14ac:dyDescent="0.2">
      <c r="A140" s="3" t="s">
        <v>210</v>
      </c>
      <c r="B140" s="3" t="s">
        <v>411</v>
      </c>
      <c r="C140">
        <v>4</v>
      </c>
      <c r="D140">
        <v>33.5</v>
      </c>
      <c r="F140">
        <v>2</v>
      </c>
      <c r="G140">
        <v>0.09</v>
      </c>
    </row>
    <row r="141" spans="1:7" x14ac:dyDescent="0.2">
      <c r="A141" s="3" t="s">
        <v>211</v>
      </c>
      <c r="B141" s="3" t="s">
        <v>423</v>
      </c>
      <c r="C141">
        <v>3</v>
      </c>
      <c r="D141">
        <v>70.2</v>
      </c>
      <c r="F141">
        <v>1</v>
      </c>
      <c r="G141">
        <v>0.09</v>
      </c>
    </row>
    <row r="142" spans="1:7" ht="48" x14ac:dyDescent="0.2">
      <c r="A142" s="9" t="s">
        <v>283</v>
      </c>
      <c r="B142" s="4" t="s">
        <v>424</v>
      </c>
      <c r="C142">
        <v>1</v>
      </c>
      <c r="D142">
        <v>53.5</v>
      </c>
      <c r="F142">
        <v>12</v>
      </c>
      <c r="G142">
        <v>0.35</v>
      </c>
    </row>
    <row r="143" spans="1:7" ht="32" x14ac:dyDescent="0.2">
      <c r="A143" s="3" t="s">
        <v>212</v>
      </c>
      <c r="B143" s="4" t="s">
        <v>425</v>
      </c>
      <c r="C143">
        <v>1</v>
      </c>
      <c r="D143">
        <v>67.8</v>
      </c>
      <c r="F143">
        <v>3</v>
      </c>
      <c r="G143">
        <v>0.06</v>
      </c>
    </row>
    <row r="144" spans="1:7" x14ac:dyDescent="0.2">
      <c r="A144" s="9" t="s">
        <v>213</v>
      </c>
      <c r="B144" s="3" t="s">
        <v>416</v>
      </c>
      <c r="C144">
        <v>1</v>
      </c>
      <c r="D144">
        <v>31.3</v>
      </c>
      <c r="F144">
        <v>1</v>
      </c>
      <c r="G144">
        <v>0.51</v>
      </c>
    </row>
    <row r="145" spans="1:7" x14ac:dyDescent="0.2">
      <c r="A145" s="9" t="s">
        <v>284</v>
      </c>
      <c r="B145" s="3" t="s">
        <v>417</v>
      </c>
      <c r="C145">
        <v>1</v>
      </c>
      <c r="D145">
        <v>32</v>
      </c>
      <c r="F145">
        <v>1</v>
      </c>
      <c r="G145">
        <v>0.54</v>
      </c>
    </row>
    <row r="146" spans="1:7" ht="32" x14ac:dyDescent="0.2">
      <c r="A146" s="3" t="s">
        <v>285</v>
      </c>
      <c r="B146" s="4" t="s">
        <v>426</v>
      </c>
      <c r="C146">
        <v>1</v>
      </c>
      <c r="D146">
        <v>30.6</v>
      </c>
      <c r="F146">
        <v>1</v>
      </c>
      <c r="G146">
        <v>0.03</v>
      </c>
    </row>
    <row r="147" spans="1:7" x14ac:dyDescent="0.2">
      <c r="A147" s="3" t="s">
        <v>286</v>
      </c>
      <c r="B147" s="3" t="s">
        <v>411</v>
      </c>
      <c r="C147">
        <v>3</v>
      </c>
      <c r="D147">
        <v>31.6</v>
      </c>
      <c r="F147">
        <v>1</v>
      </c>
      <c r="G147">
        <v>7.0000000000000007E-2</v>
      </c>
    </row>
    <row r="148" spans="1:7" x14ac:dyDescent="0.2">
      <c r="A148" s="3" t="s">
        <v>214</v>
      </c>
      <c r="B148" s="3" t="s">
        <v>419</v>
      </c>
      <c r="C148">
        <v>3</v>
      </c>
      <c r="D148">
        <v>35.5</v>
      </c>
      <c r="F148">
        <v>5</v>
      </c>
      <c r="G148">
        <v>7.0000000000000007E-2</v>
      </c>
    </row>
    <row r="149" spans="1:7" ht="64" x14ac:dyDescent="0.2">
      <c r="A149" s="6" t="s">
        <v>215</v>
      </c>
      <c r="B149" s="4" t="s">
        <v>427</v>
      </c>
      <c r="C149">
        <v>1</v>
      </c>
      <c r="D149">
        <v>53.1</v>
      </c>
      <c r="F149" t="s">
        <v>439</v>
      </c>
      <c r="G149">
        <v>0.03</v>
      </c>
    </row>
    <row r="150" spans="1:7" ht="64" x14ac:dyDescent="0.2">
      <c r="A150" s="6" t="s">
        <v>287</v>
      </c>
      <c r="B150" s="4" t="s">
        <v>428</v>
      </c>
      <c r="C150">
        <v>1</v>
      </c>
      <c r="D150">
        <v>16.3</v>
      </c>
      <c r="F150" t="s">
        <v>439</v>
      </c>
      <c r="G150">
        <v>0.04</v>
      </c>
    </row>
    <row r="151" spans="1:7" ht="64" x14ac:dyDescent="0.2">
      <c r="A151" s="6" t="s">
        <v>288</v>
      </c>
      <c r="B151" s="4" t="s">
        <v>429</v>
      </c>
      <c r="C151">
        <v>1</v>
      </c>
      <c r="D151">
        <v>16.899999999999999</v>
      </c>
      <c r="F151" t="s">
        <v>439</v>
      </c>
      <c r="G151">
        <v>0.28000000000000003</v>
      </c>
    </row>
    <row r="152" spans="1:7" ht="80" x14ac:dyDescent="0.2">
      <c r="A152" s="6" t="s">
        <v>289</v>
      </c>
      <c r="B152" s="4" t="s">
        <v>430</v>
      </c>
      <c r="C152">
        <v>1</v>
      </c>
      <c r="D152">
        <v>40.6</v>
      </c>
      <c r="F152" t="s">
        <v>439</v>
      </c>
      <c r="G152">
        <v>0.15</v>
      </c>
    </row>
    <row r="153" spans="1:7" ht="64" x14ac:dyDescent="0.2">
      <c r="A153" s="6" t="s">
        <v>216</v>
      </c>
      <c r="B153" s="4" t="s">
        <v>431</v>
      </c>
      <c r="C153">
        <v>1</v>
      </c>
      <c r="D153">
        <v>29.5</v>
      </c>
      <c r="F153">
        <v>1</v>
      </c>
      <c r="G153">
        <v>0.04</v>
      </c>
    </row>
    <row r="154" spans="1:7" x14ac:dyDescent="0.2">
      <c r="A154" s="3" t="s">
        <v>290</v>
      </c>
      <c r="B154" s="3" t="s">
        <v>411</v>
      </c>
      <c r="C154">
        <v>3</v>
      </c>
      <c r="D154">
        <v>32.200000000000003</v>
      </c>
      <c r="F154">
        <v>1</v>
      </c>
      <c r="G154">
        <v>0.08</v>
      </c>
    </row>
    <row r="155" spans="1:7" ht="32" x14ac:dyDescent="0.2">
      <c r="A155" s="3" t="s">
        <v>217</v>
      </c>
      <c r="B155" s="4" t="s">
        <v>432</v>
      </c>
      <c r="C155" t="s">
        <v>439</v>
      </c>
      <c r="D155">
        <v>0.4</v>
      </c>
      <c r="F155">
        <v>3</v>
      </c>
      <c r="G155">
        <v>0.04</v>
      </c>
    </row>
    <row r="156" spans="1:7" x14ac:dyDescent="0.2">
      <c r="A156" s="3" t="s">
        <v>291</v>
      </c>
      <c r="B156" s="3" t="s">
        <v>433</v>
      </c>
      <c r="C156">
        <v>3</v>
      </c>
      <c r="D156">
        <v>30.9</v>
      </c>
      <c r="F156">
        <v>1</v>
      </c>
      <c r="G156">
        <v>0.08</v>
      </c>
    </row>
    <row r="157" spans="1:7" ht="32" x14ac:dyDescent="0.2">
      <c r="A157" s="3" t="s">
        <v>292</v>
      </c>
      <c r="B157" s="4" t="s">
        <v>434</v>
      </c>
      <c r="C157">
        <v>2</v>
      </c>
      <c r="D157">
        <v>54.9</v>
      </c>
      <c r="F157">
        <v>1</v>
      </c>
      <c r="G157">
        <v>0.34</v>
      </c>
    </row>
    <row r="158" spans="1:7" x14ac:dyDescent="0.2">
      <c r="A158" s="3" t="s">
        <v>218</v>
      </c>
      <c r="B158" s="3" t="s">
        <v>435</v>
      </c>
      <c r="C158">
        <v>3</v>
      </c>
      <c r="D158">
        <v>29.1</v>
      </c>
      <c r="F158">
        <v>1</v>
      </c>
      <c r="G158">
        <v>0.05</v>
      </c>
    </row>
    <row r="159" spans="1:7" ht="112" x14ac:dyDescent="0.2">
      <c r="A159" s="9" t="s">
        <v>293</v>
      </c>
      <c r="B159" s="4" t="s">
        <v>436</v>
      </c>
      <c r="C159">
        <v>1</v>
      </c>
      <c r="D159">
        <v>28</v>
      </c>
      <c r="F159">
        <v>7</v>
      </c>
      <c r="G159">
        <v>0.63</v>
      </c>
    </row>
    <row r="160" spans="1:7" x14ac:dyDescent="0.2">
      <c r="A160" s="3" t="s">
        <v>294</v>
      </c>
      <c r="B160" s="3" t="s">
        <v>437</v>
      </c>
      <c r="C160" t="s">
        <v>439</v>
      </c>
      <c r="D160">
        <v>0.5</v>
      </c>
      <c r="F160">
        <v>8</v>
      </c>
      <c r="G160">
        <v>0.32</v>
      </c>
    </row>
    <row r="161" spans="2:7" x14ac:dyDescent="0.2">
      <c r="B161" s="4" t="s">
        <v>441</v>
      </c>
      <c r="C161">
        <f>COUNTIF(C2:C160, "&lt;=1")</f>
        <v>74</v>
      </c>
      <c r="D161">
        <f>74/159</f>
        <v>0.46540880503144655</v>
      </c>
      <c r="F161">
        <f>COUNTIF(F2:F160, "&lt;=1")</f>
        <v>90</v>
      </c>
      <c r="G161">
        <f>90/159</f>
        <v>0.56603773584905659</v>
      </c>
    </row>
    <row r="162" spans="2:7" x14ac:dyDescent="0.2">
      <c r="B162" s="3" t="s">
        <v>442</v>
      </c>
      <c r="C162">
        <f>COUNTIF(C2:C160, "&lt;=5")</f>
        <v>127</v>
      </c>
      <c r="D162">
        <f>127/159</f>
        <v>0.79874213836477992</v>
      </c>
      <c r="F162">
        <f>COUNTIF(F2:F160, "&lt;=5")</f>
        <v>125</v>
      </c>
      <c r="G162">
        <f>124/159</f>
        <v>0.77987421383647804</v>
      </c>
    </row>
    <row r="163" spans="2:7" x14ac:dyDescent="0.2">
      <c r="B163" s="4" t="s">
        <v>443</v>
      </c>
      <c r="C163">
        <f>COUNTIF(C2:C160, "&lt;=10")</f>
        <v>136</v>
      </c>
      <c r="F163">
        <f>COUNTIF(F2:F160, "&lt;=10")</f>
        <v>135</v>
      </c>
    </row>
    <row r="164" spans="2:7" x14ac:dyDescent="0.2">
      <c r="B164" s="3" t="s">
        <v>439</v>
      </c>
      <c r="C164">
        <f>COUNTIF(C2:C160, "=X")</f>
        <v>15</v>
      </c>
      <c r="F164">
        <f>COUNTIF(F2:F160, "=X")</f>
        <v>18</v>
      </c>
    </row>
    <row r="165" spans="2:7" x14ac:dyDescent="0.2">
      <c r="B165" s="4" t="s">
        <v>444</v>
      </c>
      <c r="C165">
        <f>COUNTIF(C2:C160, "&gt;10")</f>
        <v>8</v>
      </c>
      <c r="F165">
        <f>COUNTIF(F2:F160, "&gt;10")</f>
        <v>6</v>
      </c>
    </row>
  </sheetData>
  <sortState ref="A2:A160">
    <sortCondition ref="A2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F0D5-D81D-B94D-8966-D0128B400431}">
  <dimension ref="A1:W63"/>
  <sheetViews>
    <sheetView workbookViewId="0">
      <selection activeCell="F43" sqref="F43"/>
    </sheetView>
  </sheetViews>
  <sheetFormatPr baseColWidth="10" defaultRowHeight="16" x14ac:dyDescent="0.2"/>
  <cols>
    <col min="1" max="1" width="34.1640625" customWidth="1"/>
  </cols>
  <sheetData>
    <row r="1" spans="1:23" x14ac:dyDescent="0.2">
      <c r="A1" t="s">
        <v>452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446</v>
      </c>
      <c r="H1" t="s">
        <v>296</v>
      </c>
      <c r="I1" t="s">
        <v>447</v>
      </c>
      <c r="J1" t="s">
        <v>295</v>
      </c>
      <c r="K1" t="s">
        <v>296</v>
      </c>
      <c r="M1" t="s">
        <v>452</v>
      </c>
      <c r="N1" t="s">
        <v>453</v>
      </c>
      <c r="O1" t="s">
        <v>454</v>
      </c>
      <c r="P1" t="s">
        <v>455</v>
      </c>
      <c r="Q1" t="s">
        <v>456</v>
      </c>
      <c r="R1" t="s">
        <v>457</v>
      </c>
      <c r="S1" t="s">
        <v>446</v>
      </c>
      <c r="T1" t="s">
        <v>296</v>
      </c>
      <c r="U1" t="s">
        <v>447</v>
      </c>
      <c r="V1" t="s">
        <v>295</v>
      </c>
      <c r="W1" t="s">
        <v>296</v>
      </c>
    </row>
    <row r="2" spans="1:23" x14ac:dyDescent="0.2">
      <c r="A2" t="s">
        <v>142</v>
      </c>
      <c r="B2">
        <v>21</v>
      </c>
      <c r="C2">
        <v>1</v>
      </c>
      <c r="D2">
        <v>3</v>
      </c>
      <c r="E2">
        <v>10</v>
      </c>
      <c r="F2">
        <v>74</v>
      </c>
      <c r="G2">
        <v>1</v>
      </c>
      <c r="H2">
        <v>0.61</v>
      </c>
      <c r="J2">
        <v>1</v>
      </c>
      <c r="K2">
        <v>9.1999999999999993</v>
      </c>
      <c r="M2" t="s">
        <v>186</v>
      </c>
      <c r="N2">
        <v>36</v>
      </c>
      <c r="O2">
        <v>1</v>
      </c>
      <c r="P2">
        <v>3</v>
      </c>
      <c r="Q2">
        <v>68</v>
      </c>
      <c r="R2">
        <v>82</v>
      </c>
      <c r="S2">
        <v>1</v>
      </c>
      <c r="T2">
        <v>0.05</v>
      </c>
      <c r="V2">
        <v>1</v>
      </c>
      <c r="W2">
        <v>7.4</v>
      </c>
    </row>
    <row r="3" spans="1:23" x14ac:dyDescent="0.2">
      <c r="A3" t="s">
        <v>146</v>
      </c>
      <c r="B3">
        <v>24</v>
      </c>
      <c r="C3">
        <v>1</v>
      </c>
      <c r="D3">
        <v>3</v>
      </c>
      <c r="E3">
        <v>9</v>
      </c>
      <c r="F3">
        <v>48</v>
      </c>
      <c r="G3">
        <v>1</v>
      </c>
      <c r="H3">
        <v>0.13</v>
      </c>
      <c r="J3">
        <v>1</v>
      </c>
      <c r="K3">
        <v>6.1</v>
      </c>
      <c r="M3" t="s">
        <v>261</v>
      </c>
      <c r="N3">
        <v>36</v>
      </c>
      <c r="O3">
        <v>1</v>
      </c>
      <c r="P3">
        <v>3</v>
      </c>
      <c r="Q3">
        <v>63</v>
      </c>
      <c r="R3">
        <v>77</v>
      </c>
      <c r="S3">
        <v>1</v>
      </c>
      <c r="T3">
        <v>0.05</v>
      </c>
      <c r="V3">
        <v>1</v>
      </c>
      <c r="W3">
        <v>7.3</v>
      </c>
    </row>
    <row r="4" spans="1:23" x14ac:dyDescent="0.2">
      <c r="A4" t="s">
        <v>147</v>
      </c>
      <c r="B4">
        <v>24</v>
      </c>
      <c r="C4">
        <v>0</v>
      </c>
      <c r="D4">
        <v>0</v>
      </c>
      <c r="E4">
        <v>61</v>
      </c>
      <c r="F4">
        <v>64</v>
      </c>
      <c r="G4">
        <v>1</v>
      </c>
      <c r="H4">
        <v>0.19</v>
      </c>
      <c r="J4">
        <v>1</v>
      </c>
      <c r="K4">
        <v>8.6999999999999993</v>
      </c>
      <c r="M4" t="s">
        <v>262</v>
      </c>
      <c r="N4">
        <v>36</v>
      </c>
      <c r="O4">
        <v>2</v>
      </c>
      <c r="P4">
        <v>1</v>
      </c>
      <c r="Q4">
        <v>57</v>
      </c>
      <c r="R4">
        <v>82</v>
      </c>
      <c r="S4">
        <v>2</v>
      </c>
      <c r="T4">
        <v>0.03</v>
      </c>
      <c r="V4">
        <v>1</v>
      </c>
      <c r="W4">
        <v>7.8</v>
      </c>
    </row>
    <row r="5" spans="1:23" x14ac:dyDescent="0.2">
      <c r="A5" t="s">
        <v>148</v>
      </c>
      <c r="B5">
        <v>24</v>
      </c>
      <c r="C5">
        <v>0</v>
      </c>
      <c r="D5">
        <v>0</v>
      </c>
      <c r="E5">
        <v>59</v>
      </c>
      <c r="F5">
        <v>62</v>
      </c>
      <c r="G5">
        <v>1</v>
      </c>
      <c r="H5">
        <v>0.21</v>
      </c>
      <c r="J5">
        <v>1</v>
      </c>
      <c r="K5">
        <v>5.8</v>
      </c>
      <c r="M5" t="s">
        <v>188</v>
      </c>
      <c r="N5">
        <v>36</v>
      </c>
      <c r="O5">
        <v>3</v>
      </c>
      <c r="P5">
        <v>2</v>
      </c>
      <c r="Q5">
        <v>84</v>
      </c>
      <c r="R5">
        <v>102</v>
      </c>
      <c r="S5">
        <v>1</v>
      </c>
      <c r="T5">
        <v>0.03</v>
      </c>
      <c r="V5">
        <v>3</v>
      </c>
      <c r="W5">
        <v>14.2</v>
      </c>
    </row>
    <row r="6" spans="1:23" x14ac:dyDescent="0.2">
      <c r="A6" t="s">
        <v>149</v>
      </c>
      <c r="B6">
        <v>25</v>
      </c>
      <c r="C6">
        <v>1</v>
      </c>
      <c r="D6">
        <v>3</v>
      </c>
      <c r="E6">
        <v>30</v>
      </c>
      <c r="F6">
        <v>56</v>
      </c>
      <c r="G6">
        <v>1</v>
      </c>
      <c r="H6">
        <v>0.28999999999999998</v>
      </c>
      <c r="J6">
        <v>2</v>
      </c>
      <c r="K6">
        <v>4.4000000000000004</v>
      </c>
      <c r="M6" t="s">
        <v>263</v>
      </c>
      <c r="N6">
        <v>36</v>
      </c>
      <c r="O6">
        <v>2</v>
      </c>
      <c r="P6">
        <v>3</v>
      </c>
      <c r="Q6">
        <v>67</v>
      </c>
      <c r="R6">
        <v>101</v>
      </c>
      <c r="S6">
        <v>1</v>
      </c>
      <c r="T6">
        <v>0.09</v>
      </c>
      <c r="V6">
        <v>3</v>
      </c>
      <c r="W6">
        <v>103.8</v>
      </c>
    </row>
    <row r="7" spans="1:23" x14ac:dyDescent="0.2">
      <c r="A7" t="s">
        <v>150</v>
      </c>
      <c r="B7">
        <v>25</v>
      </c>
      <c r="C7">
        <v>0</v>
      </c>
      <c r="D7">
        <v>0</v>
      </c>
      <c r="E7">
        <v>50</v>
      </c>
      <c r="F7">
        <v>63</v>
      </c>
      <c r="G7">
        <v>1</v>
      </c>
      <c r="H7">
        <v>0.14000000000000001</v>
      </c>
      <c r="J7">
        <v>1</v>
      </c>
      <c r="K7">
        <v>6.9</v>
      </c>
      <c r="M7" t="s">
        <v>264</v>
      </c>
      <c r="N7">
        <v>36</v>
      </c>
      <c r="O7">
        <v>1</v>
      </c>
      <c r="P7">
        <v>3</v>
      </c>
      <c r="Q7">
        <v>71</v>
      </c>
      <c r="R7">
        <v>107</v>
      </c>
      <c r="S7">
        <v>3</v>
      </c>
      <c r="T7">
        <v>0.55000000000000004</v>
      </c>
      <c r="V7">
        <v>1</v>
      </c>
      <c r="W7">
        <v>44.2</v>
      </c>
    </row>
    <row r="8" spans="1:23" x14ac:dyDescent="0.2">
      <c r="A8" t="s">
        <v>228</v>
      </c>
      <c r="B8">
        <v>24</v>
      </c>
      <c r="C8">
        <v>2</v>
      </c>
      <c r="D8">
        <v>9</v>
      </c>
      <c r="E8">
        <v>9</v>
      </c>
      <c r="F8">
        <v>46</v>
      </c>
      <c r="G8">
        <v>2</v>
      </c>
      <c r="H8">
        <v>0.92</v>
      </c>
      <c r="J8">
        <v>1</v>
      </c>
      <c r="K8">
        <v>5.7</v>
      </c>
      <c r="M8" t="s">
        <v>265</v>
      </c>
      <c r="N8">
        <v>36</v>
      </c>
      <c r="O8">
        <v>2</v>
      </c>
      <c r="P8">
        <v>1</v>
      </c>
      <c r="Q8">
        <v>78</v>
      </c>
      <c r="R8">
        <v>103</v>
      </c>
      <c r="S8">
        <v>2</v>
      </c>
      <c r="T8">
        <v>0.04</v>
      </c>
      <c r="V8">
        <v>1</v>
      </c>
      <c r="W8">
        <v>29.5</v>
      </c>
    </row>
    <row r="9" spans="1:23" x14ac:dyDescent="0.2">
      <c r="A9" t="s">
        <v>151</v>
      </c>
      <c r="B9">
        <v>25</v>
      </c>
      <c r="C9">
        <v>2</v>
      </c>
      <c r="D9">
        <v>6</v>
      </c>
      <c r="E9">
        <v>15</v>
      </c>
      <c r="F9">
        <v>80</v>
      </c>
      <c r="G9" s="7">
        <v>4</v>
      </c>
      <c r="H9">
        <v>0.53</v>
      </c>
      <c r="J9">
        <v>1</v>
      </c>
      <c r="K9">
        <v>8.8000000000000007</v>
      </c>
      <c r="M9" t="s">
        <v>189</v>
      </c>
      <c r="N9">
        <v>36</v>
      </c>
      <c r="O9">
        <v>1</v>
      </c>
      <c r="P9">
        <v>3</v>
      </c>
      <c r="Q9">
        <v>63</v>
      </c>
      <c r="R9">
        <v>83</v>
      </c>
      <c r="S9">
        <v>2</v>
      </c>
      <c r="T9">
        <v>0.1</v>
      </c>
      <c r="V9">
        <v>1</v>
      </c>
      <c r="W9">
        <v>7.7</v>
      </c>
    </row>
    <row r="10" spans="1:23" x14ac:dyDescent="0.2">
      <c r="A10" t="s">
        <v>152</v>
      </c>
      <c r="B10">
        <v>27</v>
      </c>
      <c r="C10">
        <v>1</v>
      </c>
      <c r="D10">
        <v>3</v>
      </c>
      <c r="E10">
        <v>43</v>
      </c>
      <c r="F10">
        <v>83</v>
      </c>
      <c r="G10">
        <v>2</v>
      </c>
      <c r="H10">
        <v>0.15</v>
      </c>
      <c r="J10">
        <v>2</v>
      </c>
      <c r="K10">
        <v>8</v>
      </c>
      <c r="M10" t="s">
        <v>191</v>
      </c>
      <c r="N10">
        <v>36</v>
      </c>
      <c r="O10">
        <v>4</v>
      </c>
      <c r="P10">
        <v>4</v>
      </c>
      <c r="Q10">
        <v>64</v>
      </c>
      <c r="R10">
        <v>90</v>
      </c>
      <c r="S10">
        <v>1</v>
      </c>
      <c r="T10">
        <v>0.03</v>
      </c>
      <c r="V10">
        <v>4</v>
      </c>
      <c r="W10">
        <v>8.3000000000000007</v>
      </c>
    </row>
    <row r="11" spans="1:23" x14ac:dyDescent="0.2">
      <c r="A11" t="s">
        <v>145</v>
      </c>
      <c r="B11">
        <v>24</v>
      </c>
      <c r="C11">
        <v>2</v>
      </c>
      <c r="D11">
        <v>3</v>
      </c>
      <c r="E11">
        <v>41</v>
      </c>
      <c r="F11">
        <v>83</v>
      </c>
      <c r="G11" s="7">
        <v>5</v>
      </c>
      <c r="H11">
        <v>0.1</v>
      </c>
      <c r="J11">
        <v>1</v>
      </c>
      <c r="K11">
        <v>7</v>
      </c>
      <c r="M11" t="s">
        <v>266</v>
      </c>
      <c r="N11">
        <v>36</v>
      </c>
      <c r="O11">
        <v>1</v>
      </c>
      <c r="P11">
        <v>3</v>
      </c>
      <c r="Q11">
        <v>68</v>
      </c>
      <c r="R11">
        <v>88</v>
      </c>
      <c r="S11">
        <v>2</v>
      </c>
      <c r="T11">
        <v>0.09</v>
      </c>
      <c r="V11">
        <v>1</v>
      </c>
      <c r="W11">
        <v>8.3000000000000007</v>
      </c>
    </row>
    <row r="12" spans="1:23" x14ac:dyDescent="0.2">
      <c r="A12" t="s">
        <v>164</v>
      </c>
      <c r="B12">
        <v>56</v>
      </c>
      <c r="C12">
        <v>3</v>
      </c>
      <c r="D12">
        <v>2</v>
      </c>
      <c r="E12">
        <v>56</v>
      </c>
      <c r="F12">
        <v>134</v>
      </c>
      <c r="G12">
        <v>1</v>
      </c>
      <c r="H12">
        <v>0.42</v>
      </c>
      <c r="J12">
        <v>12</v>
      </c>
      <c r="K12">
        <v>68.3</v>
      </c>
      <c r="M12" t="s">
        <v>267</v>
      </c>
      <c r="N12">
        <v>36</v>
      </c>
      <c r="O12">
        <v>2</v>
      </c>
      <c r="P12">
        <v>1</v>
      </c>
      <c r="Q12">
        <v>47</v>
      </c>
      <c r="R12">
        <v>88</v>
      </c>
      <c r="S12">
        <v>2</v>
      </c>
      <c r="T12">
        <v>0.03</v>
      </c>
      <c r="V12">
        <v>1</v>
      </c>
      <c r="W12">
        <v>7.6</v>
      </c>
    </row>
    <row r="13" spans="1:23" x14ac:dyDescent="0.2">
      <c r="A13" t="s">
        <v>229</v>
      </c>
      <c r="B13">
        <v>56</v>
      </c>
      <c r="C13">
        <v>1</v>
      </c>
      <c r="D13">
        <v>3</v>
      </c>
      <c r="E13">
        <v>95</v>
      </c>
      <c r="F13">
        <v>134</v>
      </c>
      <c r="G13">
        <v>1</v>
      </c>
      <c r="H13">
        <v>0.27</v>
      </c>
      <c r="J13">
        <v>13</v>
      </c>
      <c r="K13">
        <v>68.5</v>
      </c>
      <c r="M13" t="s">
        <v>268</v>
      </c>
      <c r="N13">
        <v>30</v>
      </c>
      <c r="O13">
        <v>2</v>
      </c>
      <c r="P13">
        <v>1</v>
      </c>
      <c r="Q13">
        <v>19</v>
      </c>
      <c r="R13">
        <v>90</v>
      </c>
      <c r="S13">
        <v>1</v>
      </c>
      <c r="T13">
        <v>0.04</v>
      </c>
      <c r="V13">
        <v>1</v>
      </c>
      <c r="W13">
        <v>2.9</v>
      </c>
    </row>
    <row r="14" spans="1:23" x14ac:dyDescent="0.2">
      <c r="A14" t="s">
        <v>230</v>
      </c>
      <c r="B14">
        <v>47</v>
      </c>
      <c r="C14">
        <v>7</v>
      </c>
      <c r="D14">
        <v>5</v>
      </c>
      <c r="E14">
        <v>92</v>
      </c>
      <c r="F14">
        <v>147</v>
      </c>
      <c r="G14">
        <v>4</v>
      </c>
      <c r="H14">
        <v>0.08</v>
      </c>
      <c r="J14">
        <v>2</v>
      </c>
      <c r="K14">
        <v>95.2</v>
      </c>
      <c r="M14" t="s">
        <v>76</v>
      </c>
      <c r="N14">
        <v>29</v>
      </c>
      <c r="O14">
        <v>2</v>
      </c>
      <c r="P14">
        <v>1</v>
      </c>
      <c r="Q14">
        <v>14</v>
      </c>
      <c r="R14">
        <v>70</v>
      </c>
      <c r="S14">
        <v>4</v>
      </c>
      <c r="T14">
        <v>0.04</v>
      </c>
      <c r="V14">
        <v>1</v>
      </c>
      <c r="W14">
        <v>2.8</v>
      </c>
    </row>
    <row r="15" spans="1:23" x14ac:dyDescent="0.2">
      <c r="A15" t="s">
        <v>231</v>
      </c>
      <c r="B15">
        <v>52</v>
      </c>
      <c r="C15">
        <v>5</v>
      </c>
      <c r="D15">
        <v>3</v>
      </c>
      <c r="E15">
        <v>68</v>
      </c>
      <c r="F15">
        <v>133</v>
      </c>
      <c r="G15">
        <v>2</v>
      </c>
      <c r="H15">
        <v>0.13</v>
      </c>
      <c r="J15">
        <v>2</v>
      </c>
      <c r="K15">
        <v>68.099999999999994</v>
      </c>
      <c r="M15" t="s">
        <v>200</v>
      </c>
      <c r="N15">
        <v>31</v>
      </c>
      <c r="O15">
        <v>2</v>
      </c>
      <c r="P15">
        <v>3</v>
      </c>
      <c r="Q15">
        <v>39</v>
      </c>
      <c r="R15">
        <v>141</v>
      </c>
      <c r="S15">
        <v>3</v>
      </c>
      <c r="T15">
        <v>0.02</v>
      </c>
      <c r="V15">
        <v>3</v>
      </c>
      <c r="W15">
        <v>4.7</v>
      </c>
    </row>
    <row r="16" spans="1:23" x14ac:dyDescent="0.2">
      <c r="A16" t="s">
        <v>168</v>
      </c>
      <c r="B16">
        <v>57</v>
      </c>
      <c r="C16">
        <v>1</v>
      </c>
      <c r="D16">
        <v>3</v>
      </c>
      <c r="E16">
        <v>97</v>
      </c>
      <c r="F16">
        <v>137</v>
      </c>
      <c r="G16">
        <v>4</v>
      </c>
      <c r="H16">
        <v>0.14000000000000001</v>
      </c>
      <c r="J16">
        <v>8</v>
      </c>
      <c r="K16">
        <v>70</v>
      </c>
      <c r="M16" t="s">
        <v>271</v>
      </c>
      <c r="N16">
        <v>29</v>
      </c>
      <c r="O16">
        <v>2</v>
      </c>
      <c r="P16">
        <v>2</v>
      </c>
      <c r="Q16">
        <v>17</v>
      </c>
      <c r="R16">
        <v>69</v>
      </c>
      <c r="S16">
        <v>3</v>
      </c>
      <c r="T16">
        <v>0.02</v>
      </c>
      <c r="V16">
        <v>9</v>
      </c>
      <c r="W16">
        <v>2.1</v>
      </c>
    </row>
    <row r="17" spans="1:23" x14ac:dyDescent="0.2">
      <c r="A17" t="s">
        <v>232</v>
      </c>
      <c r="B17">
        <v>57</v>
      </c>
      <c r="C17">
        <v>3</v>
      </c>
      <c r="D17">
        <v>2</v>
      </c>
      <c r="E17">
        <v>58</v>
      </c>
      <c r="F17">
        <v>137</v>
      </c>
      <c r="G17">
        <v>6</v>
      </c>
      <c r="H17">
        <v>0.2</v>
      </c>
      <c r="J17">
        <v>7</v>
      </c>
      <c r="K17">
        <v>71.2</v>
      </c>
      <c r="M17" t="s">
        <v>202</v>
      </c>
      <c r="N17">
        <v>29</v>
      </c>
      <c r="O17">
        <v>2</v>
      </c>
      <c r="P17">
        <v>2</v>
      </c>
      <c r="Q17">
        <v>17</v>
      </c>
      <c r="R17">
        <v>98</v>
      </c>
      <c r="S17">
        <v>2</v>
      </c>
      <c r="T17">
        <v>0.03</v>
      </c>
      <c r="V17">
        <v>16</v>
      </c>
      <c r="W17">
        <v>3</v>
      </c>
    </row>
    <row r="18" spans="1:23" x14ac:dyDescent="0.2">
      <c r="A18" t="s">
        <v>233</v>
      </c>
      <c r="B18">
        <v>55</v>
      </c>
      <c r="C18">
        <v>5</v>
      </c>
      <c r="D18">
        <v>3</v>
      </c>
      <c r="E18">
        <v>68</v>
      </c>
      <c r="F18">
        <v>141</v>
      </c>
      <c r="G18">
        <v>1</v>
      </c>
      <c r="H18">
        <v>0.24</v>
      </c>
      <c r="J18">
        <v>1</v>
      </c>
      <c r="K18">
        <v>68.599999999999994</v>
      </c>
      <c r="M18" t="s">
        <v>203</v>
      </c>
      <c r="N18">
        <v>29</v>
      </c>
      <c r="O18">
        <v>2</v>
      </c>
      <c r="P18">
        <v>2</v>
      </c>
      <c r="Q18">
        <v>14</v>
      </c>
      <c r="R18">
        <v>64</v>
      </c>
      <c r="S18">
        <v>6</v>
      </c>
      <c r="T18">
        <v>0.06</v>
      </c>
      <c r="V18">
        <v>13</v>
      </c>
      <c r="W18">
        <v>2.6</v>
      </c>
    </row>
    <row r="19" spans="1:23" x14ac:dyDescent="0.2">
      <c r="A19" t="s">
        <v>169</v>
      </c>
      <c r="B19">
        <v>46</v>
      </c>
      <c r="C19">
        <v>5</v>
      </c>
      <c r="D19">
        <v>3</v>
      </c>
      <c r="E19">
        <v>95</v>
      </c>
      <c r="F19">
        <v>145</v>
      </c>
      <c r="G19" t="s">
        <v>439</v>
      </c>
      <c r="H19">
        <v>0.12</v>
      </c>
      <c r="J19">
        <v>4</v>
      </c>
      <c r="K19">
        <v>70.400000000000006</v>
      </c>
      <c r="M19" t="s">
        <v>272</v>
      </c>
      <c r="N19">
        <v>29</v>
      </c>
      <c r="O19">
        <v>2</v>
      </c>
      <c r="P19">
        <v>2</v>
      </c>
      <c r="Q19">
        <v>14</v>
      </c>
      <c r="R19">
        <v>59</v>
      </c>
      <c r="S19">
        <v>1</v>
      </c>
      <c r="T19">
        <v>0.03</v>
      </c>
      <c r="V19">
        <v>9</v>
      </c>
      <c r="W19">
        <v>2.6</v>
      </c>
    </row>
    <row r="20" spans="1:23" x14ac:dyDescent="0.2">
      <c r="A20" t="s">
        <v>235</v>
      </c>
      <c r="B20">
        <v>51</v>
      </c>
      <c r="C20">
        <v>7</v>
      </c>
      <c r="D20">
        <v>5</v>
      </c>
      <c r="E20">
        <v>61</v>
      </c>
      <c r="F20">
        <v>154</v>
      </c>
      <c r="G20">
        <v>11</v>
      </c>
      <c r="H20">
        <v>0.26</v>
      </c>
      <c r="J20">
        <v>1</v>
      </c>
      <c r="K20">
        <v>84.8</v>
      </c>
      <c r="M20" t="s">
        <v>204</v>
      </c>
      <c r="N20">
        <v>29</v>
      </c>
      <c r="O20">
        <v>3</v>
      </c>
      <c r="P20">
        <v>1</v>
      </c>
      <c r="Q20">
        <v>14</v>
      </c>
      <c r="R20">
        <v>71</v>
      </c>
      <c r="S20">
        <v>4</v>
      </c>
      <c r="T20">
        <v>0.05</v>
      </c>
      <c r="V20">
        <v>14</v>
      </c>
      <c r="W20">
        <v>2.7</v>
      </c>
    </row>
    <row r="21" spans="1:23" x14ac:dyDescent="0.2">
      <c r="A21" t="s">
        <v>171</v>
      </c>
      <c r="B21">
        <v>51</v>
      </c>
      <c r="C21">
        <v>7</v>
      </c>
      <c r="D21">
        <v>5</v>
      </c>
      <c r="E21">
        <v>61</v>
      </c>
      <c r="F21">
        <v>140</v>
      </c>
      <c r="G21">
        <v>8</v>
      </c>
      <c r="H21">
        <v>0.19</v>
      </c>
      <c r="J21">
        <v>1</v>
      </c>
      <c r="K21">
        <v>69.400000000000006</v>
      </c>
      <c r="M21" t="s">
        <v>273</v>
      </c>
      <c r="N21">
        <v>29</v>
      </c>
      <c r="O21">
        <v>2</v>
      </c>
      <c r="P21">
        <v>1</v>
      </c>
      <c r="Q21">
        <v>18</v>
      </c>
      <c r="R21">
        <v>91</v>
      </c>
      <c r="S21">
        <v>5</v>
      </c>
      <c r="T21">
        <v>0.05</v>
      </c>
      <c r="V21">
        <v>1</v>
      </c>
      <c r="W21">
        <v>3.1</v>
      </c>
    </row>
    <row r="22" spans="1:23" x14ac:dyDescent="0.2">
      <c r="A22" t="s">
        <v>173</v>
      </c>
      <c r="B22">
        <v>59</v>
      </c>
      <c r="C22">
        <v>3</v>
      </c>
      <c r="D22">
        <v>2</v>
      </c>
      <c r="E22">
        <v>57</v>
      </c>
      <c r="F22">
        <v>134</v>
      </c>
      <c r="G22">
        <v>3</v>
      </c>
      <c r="H22">
        <v>0.26</v>
      </c>
      <c r="J22">
        <v>8</v>
      </c>
      <c r="K22">
        <v>62.8</v>
      </c>
      <c r="M22" t="s">
        <v>274</v>
      </c>
      <c r="N22">
        <v>29</v>
      </c>
      <c r="O22">
        <v>2</v>
      </c>
      <c r="P22">
        <v>2</v>
      </c>
      <c r="Q22">
        <v>18</v>
      </c>
      <c r="R22">
        <v>90</v>
      </c>
      <c r="S22">
        <v>2</v>
      </c>
      <c r="T22">
        <v>0.06</v>
      </c>
      <c r="V22">
        <v>1</v>
      </c>
      <c r="W22">
        <v>2.9</v>
      </c>
    </row>
    <row r="23" spans="1:23" x14ac:dyDescent="0.2">
      <c r="A23" t="s">
        <v>236</v>
      </c>
      <c r="B23">
        <v>59</v>
      </c>
      <c r="C23">
        <v>3</v>
      </c>
      <c r="D23">
        <v>2</v>
      </c>
      <c r="E23">
        <v>57</v>
      </c>
      <c r="F23">
        <v>134</v>
      </c>
      <c r="G23">
        <v>3</v>
      </c>
      <c r="H23">
        <v>0.24</v>
      </c>
      <c r="J23">
        <v>8</v>
      </c>
      <c r="K23">
        <v>62.7</v>
      </c>
      <c r="M23" t="s">
        <v>276</v>
      </c>
      <c r="N23">
        <v>30</v>
      </c>
      <c r="O23">
        <v>0</v>
      </c>
      <c r="P23">
        <v>0</v>
      </c>
      <c r="Q23">
        <v>78</v>
      </c>
      <c r="R23">
        <v>91</v>
      </c>
      <c r="S23">
        <v>1</v>
      </c>
      <c r="T23">
        <v>0.06</v>
      </c>
      <c r="V23">
        <v>1</v>
      </c>
      <c r="W23">
        <v>1.5</v>
      </c>
    </row>
    <row r="24" spans="1:23" x14ac:dyDescent="0.2">
      <c r="A24" t="s">
        <v>240</v>
      </c>
      <c r="B24">
        <v>55</v>
      </c>
      <c r="C24">
        <v>7</v>
      </c>
      <c r="D24">
        <v>5</v>
      </c>
      <c r="E24">
        <v>75</v>
      </c>
      <c r="F24">
        <v>162</v>
      </c>
      <c r="G24">
        <v>5</v>
      </c>
      <c r="H24">
        <v>0.3</v>
      </c>
      <c r="J24">
        <v>4</v>
      </c>
      <c r="K24">
        <v>91.7</v>
      </c>
      <c r="M24" t="s">
        <v>450</v>
      </c>
      <c r="N24">
        <v>33</v>
      </c>
      <c r="O24">
        <v>2</v>
      </c>
      <c r="P24">
        <v>3</v>
      </c>
      <c r="Q24">
        <v>7</v>
      </c>
      <c r="R24">
        <v>22</v>
      </c>
      <c r="S24">
        <v>1</v>
      </c>
      <c r="T24">
        <v>0.04</v>
      </c>
      <c r="V24">
        <v>1</v>
      </c>
      <c r="W24">
        <v>4.0999999999999996</v>
      </c>
    </row>
    <row r="25" spans="1:23" x14ac:dyDescent="0.2">
      <c r="A25" t="s">
        <v>155</v>
      </c>
      <c r="B25">
        <v>54</v>
      </c>
      <c r="C25">
        <v>5</v>
      </c>
      <c r="D25">
        <v>3</v>
      </c>
      <c r="E25">
        <v>135</v>
      </c>
      <c r="F25">
        <v>196</v>
      </c>
      <c r="G25" t="s">
        <v>439</v>
      </c>
      <c r="H25">
        <v>0.22</v>
      </c>
      <c r="J25">
        <v>31</v>
      </c>
      <c r="K25">
        <v>77</v>
      </c>
      <c r="M25" t="s">
        <v>451</v>
      </c>
      <c r="N25">
        <v>34</v>
      </c>
      <c r="O25">
        <v>1</v>
      </c>
      <c r="P25">
        <v>2</v>
      </c>
      <c r="Q25">
        <v>19</v>
      </c>
      <c r="R25">
        <v>26</v>
      </c>
      <c r="S25" t="s">
        <v>439</v>
      </c>
      <c r="T25">
        <v>0.01</v>
      </c>
      <c r="V25">
        <v>11</v>
      </c>
      <c r="W25">
        <v>1.4</v>
      </c>
    </row>
    <row r="26" spans="1:23" x14ac:dyDescent="0.2">
      <c r="A26" t="s">
        <v>156</v>
      </c>
      <c r="B26">
        <v>47</v>
      </c>
      <c r="C26">
        <v>5</v>
      </c>
      <c r="D26">
        <v>3</v>
      </c>
      <c r="E26">
        <v>94</v>
      </c>
      <c r="F26">
        <v>146</v>
      </c>
      <c r="G26">
        <v>2</v>
      </c>
      <c r="H26">
        <v>0.17</v>
      </c>
      <c r="J26" t="s">
        <v>439</v>
      </c>
      <c r="K26">
        <v>0.6</v>
      </c>
      <c r="M26" t="s">
        <v>208</v>
      </c>
      <c r="N26">
        <v>40</v>
      </c>
      <c r="O26">
        <v>2</v>
      </c>
      <c r="P26">
        <v>2</v>
      </c>
      <c r="Q26">
        <v>126</v>
      </c>
      <c r="R26">
        <v>168</v>
      </c>
      <c r="S26">
        <v>1</v>
      </c>
      <c r="T26">
        <v>0.08</v>
      </c>
      <c r="V26">
        <v>3</v>
      </c>
      <c r="W26">
        <v>25.7</v>
      </c>
    </row>
    <row r="27" spans="1:23" x14ac:dyDescent="0.2">
      <c r="A27" t="s">
        <v>242</v>
      </c>
      <c r="B27">
        <v>56</v>
      </c>
      <c r="C27">
        <v>5</v>
      </c>
      <c r="D27">
        <v>3</v>
      </c>
      <c r="E27">
        <v>68</v>
      </c>
      <c r="F27">
        <v>164</v>
      </c>
      <c r="G27">
        <v>8</v>
      </c>
      <c r="H27">
        <v>0.19</v>
      </c>
      <c r="J27">
        <v>6</v>
      </c>
      <c r="K27">
        <v>62.9</v>
      </c>
      <c r="M27" t="s">
        <v>219</v>
      </c>
      <c r="N27">
        <v>40</v>
      </c>
      <c r="O27">
        <v>1</v>
      </c>
      <c r="P27">
        <v>2</v>
      </c>
      <c r="Q27">
        <v>122</v>
      </c>
      <c r="R27">
        <v>150</v>
      </c>
      <c r="S27">
        <v>1</v>
      </c>
      <c r="T27">
        <v>0.06</v>
      </c>
      <c r="V27">
        <v>3</v>
      </c>
      <c r="W27">
        <v>26.5</v>
      </c>
    </row>
    <row r="28" spans="1:23" x14ac:dyDescent="0.2">
      <c r="A28" t="s">
        <v>160</v>
      </c>
      <c r="B28">
        <v>64</v>
      </c>
      <c r="C28">
        <v>7</v>
      </c>
      <c r="D28">
        <v>5</v>
      </c>
      <c r="E28">
        <v>79</v>
      </c>
      <c r="F28">
        <v>181</v>
      </c>
      <c r="G28">
        <v>12</v>
      </c>
      <c r="H28">
        <v>0.27</v>
      </c>
      <c r="J28">
        <v>3</v>
      </c>
      <c r="K28">
        <v>76.900000000000006</v>
      </c>
      <c r="M28" t="s">
        <v>277</v>
      </c>
      <c r="N28">
        <v>44</v>
      </c>
      <c r="O28">
        <v>2</v>
      </c>
      <c r="P28">
        <v>2</v>
      </c>
      <c r="Q28">
        <v>72</v>
      </c>
      <c r="R28">
        <v>156</v>
      </c>
      <c r="S28">
        <v>3</v>
      </c>
      <c r="T28">
        <v>0.14000000000000001</v>
      </c>
      <c r="V28">
        <v>2</v>
      </c>
      <c r="W28">
        <v>46.9</v>
      </c>
    </row>
    <row r="29" spans="1:23" x14ac:dyDescent="0.2">
      <c r="A29" t="s">
        <v>161</v>
      </c>
      <c r="B29">
        <v>48</v>
      </c>
      <c r="C29">
        <v>5</v>
      </c>
      <c r="D29">
        <v>3</v>
      </c>
      <c r="E29">
        <v>113</v>
      </c>
      <c r="F29">
        <v>186</v>
      </c>
      <c r="G29">
        <v>12</v>
      </c>
      <c r="H29">
        <v>0.19</v>
      </c>
      <c r="J29">
        <v>1</v>
      </c>
      <c r="K29">
        <v>113.7</v>
      </c>
      <c r="M29" t="s">
        <v>220</v>
      </c>
      <c r="N29">
        <v>45</v>
      </c>
      <c r="O29">
        <v>1</v>
      </c>
      <c r="P29">
        <v>1</v>
      </c>
      <c r="Q29">
        <v>135</v>
      </c>
      <c r="R29">
        <v>188</v>
      </c>
      <c r="S29">
        <v>1</v>
      </c>
      <c r="T29">
        <v>0.04</v>
      </c>
      <c r="V29">
        <v>1</v>
      </c>
      <c r="W29">
        <v>81.099999999999994</v>
      </c>
    </row>
    <row r="30" spans="1:23" x14ac:dyDescent="0.2">
      <c r="A30" t="s">
        <v>244</v>
      </c>
      <c r="B30">
        <v>55</v>
      </c>
      <c r="C30">
        <v>7</v>
      </c>
      <c r="D30">
        <v>5</v>
      </c>
      <c r="E30">
        <v>79</v>
      </c>
      <c r="F30">
        <v>177</v>
      </c>
      <c r="G30">
        <v>9</v>
      </c>
      <c r="H30">
        <v>0.18</v>
      </c>
      <c r="J30">
        <v>1</v>
      </c>
      <c r="K30">
        <v>83.9</v>
      </c>
      <c r="M30" t="s">
        <v>278</v>
      </c>
      <c r="N30">
        <v>44</v>
      </c>
      <c r="O30">
        <v>3</v>
      </c>
      <c r="P30">
        <v>2</v>
      </c>
      <c r="Q30">
        <v>121</v>
      </c>
      <c r="R30">
        <v>184</v>
      </c>
      <c r="S30">
        <v>1</v>
      </c>
      <c r="T30">
        <v>0.23</v>
      </c>
      <c r="V30">
        <v>1</v>
      </c>
      <c r="W30">
        <v>65.400000000000006</v>
      </c>
    </row>
    <row r="31" spans="1:23" x14ac:dyDescent="0.2">
      <c r="A31" t="s">
        <v>162</v>
      </c>
      <c r="B31">
        <v>51</v>
      </c>
      <c r="C31">
        <v>3</v>
      </c>
      <c r="D31">
        <v>2</v>
      </c>
      <c r="E31">
        <v>115</v>
      </c>
      <c r="F31">
        <v>187</v>
      </c>
      <c r="G31">
        <v>2</v>
      </c>
      <c r="H31">
        <v>1.36</v>
      </c>
      <c r="J31" t="s">
        <v>439</v>
      </c>
      <c r="K31">
        <v>0.7</v>
      </c>
      <c r="M31" t="s">
        <v>221</v>
      </c>
      <c r="N31">
        <v>40</v>
      </c>
      <c r="O31">
        <v>1</v>
      </c>
      <c r="P31">
        <v>2</v>
      </c>
      <c r="Q31">
        <v>118</v>
      </c>
      <c r="R31">
        <v>146</v>
      </c>
      <c r="S31">
        <v>1</v>
      </c>
      <c r="T31">
        <v>0.05</v>
      </c>
      <c r="V31">
        <v>3</v>
      </c>
      <c r="W31">
        <v>25.8</v>
      </c>
    </row>
    <row r="32" spans="1:23" x14ac:dyDescent="0.2">
      <c r="A32" t="s">
        <v>163</v>
      </c>
      <c r="B32">
        <v>47</v>
      </c>
      <c r="C32">
        <v>5</v>
      </c>
      <c r="D32">
        <v>3</v>
      </c>
      <c r="E32">
        <v>112</v>
      </c>
      <c r="F32">
        <v>158</v>
      </c>
      <c r="G32">
        <v>2</v>
      </c>
      <c r="H32">
        <v>0.09</v>
      </c>
      <c r="J32">
        <v>1</v>
      </c>
      <c r="K32">
        <v>93.6</v>
      </c>
      <c r="M32" t="s">
        <v>222</v>
      </c>
      <c r="N32">
        <v>42</v>
      </c>
      <c r="O32">
        <v>1</v>
      </c>
      <c r="P32">
        <v>2</v>
      </c>
      <c r="Q32">
        <v>160</v>
      </c>
      <c r="R32">
        <v>188</v>
      </c>
      <c r="S32">
        <v>1</v>
      </c>
      <c r="T32">
        <v>0.56000000000000005</v>
      </c>
      <c r="V32">
        <v>3</v>
      </c>
      <c r="W32">
        <v>26.5</v>
      </c>
    </row>
    <row r="33" spans="1:23" x14ac:dyDescent="0.2">
      <c r="A33" t="s">
        <v>246</v>
      </c>
      <c r="B33">
        <v>52</v>
      </c>
      <c r="C33">
        <v>6</v>
      </c>
      <c r="D33">
        <v>3</v>
      </c>
      <c r="E33">
        <v>112</v>
      </c>
      <c r="F33">
        <v>175</v>
      </c>
      <c r="G33">
        <v>2</v>
      </c>
      <c r="H33">
        <v>0.06</v>
      </c>
      <c r="J33">
        <v>10</v>
      </c>
      <c r="K33">
        <v>88.7</v>
      </c>
      <c r="M33" t="s">
        <v>223</v>
      </c>
      <c r="N33">
        <v>42</v>
      </c>
      <c r="O33">
        <v>0</v>
      </c>
      <c r="P33">
        <v>0</v>
      </c>
      <c r="Q33">
        <v>148</v>
      </c>
      <c r="R33">
        <v>157</v>
      </c>
      <c r="S33">
        <v>1</v>
      </c>
      <c r="T33">
        <v>0.66</v>
      </c>
      <c r="V33">
        <v>1</v>
      </c>
      <c r="W33">
        <v>30.2</v>
      </c>
    </row>
    <row r="34" spans="1:23" x14ac:dyDescent="0.2">
      <c r="A34" t="s">
        <v>247</v>
      </c>
      <c r="B34">
        <v>55</v>
      </c>
      <c r="C34">
        <v>5</v>
      </c>
      <c r="D34">
        <v>3</v>
      </c>
      <c r="E34">
        <v>86</v>
      </c>
      <c r="F34">
        <v>154</v>
      </c>
      <c r="G34">
        <v>8</v>
      </c>
      <c r="H34">
        <v>0.18</v>
      </c>
      <c r="J34">
        <v>2</v>
      </c>
      <c r="K34">
        <v>50.1</v>
      </c>
      <c r="M34" t="s">
        <v>279</v>
      </c>
      <c r="N34">
        <v>42</v>
      </c>
      <c r="O34">
        <v>0</v>
      </c>
      <c r="P34">
        <v>0</v>
      </c>
      <c r="Q34">
        <v>148</v>
      </c>
      <c r="R34">
        <v>157</v>
      </c>
      <c r="S34">
        <v>1</v>
      </c>
      <c r="T34">
        <v>0.52</v>
      </c>
      <c r="V34">
        <v>1</v>
      </c>
      <c r="W34">
        <v>31.7</v>
      </c>
    </row>
    <row r="35" spans="1:23" x14ac:dyDescent="0.2">
      <c r="A35" t="s">
        <v>248</v>
      </c>
      <c r="B35">
        <v>55</v>
      </c>
      <c r="C35">
        <v>7</v>
      </c>
      <c r="D35">
        <v>5</v>
      </c>
      <c r="E35">
        <v>61</v>
      </c>
      <c r="F35">
        <v>152</v>
      </c>
      <c r="G35">
        <v>6</v>
      </c>
      <c r="H35">
        <v>0.21</v>
      </c>
      <c r="J35">
        <v>2</v>
      </c>
      <c r="K35">
        <v>83.3</v>
      </c>
      <c r="M35" t="s">
        <v>280</v>
      </c>
      <c r="N35">
        <v>41</v>
      </c>
      <c r="O35">
        <v>2</v>
      </c>
      <c r="P35">
        <v>1</v>
      </c>
      <c r="Q35">
        <v>119</v>
      </c>
      <c r="R35">
        <v>152</v>
      </c>
      <c r="S35">
        <v>1</v>
      </c>
      <c r="T35">
        <v>0.05</v>
      </c>
      <c r="V35">
        <v>1</v>
      </c>
      <c r="W35">
        <v>29.1</v>
      </c>
    </row>
    <row r="36" spans="1:23" x14ac:dyDescent="0.2">
      <c r="A36" t="s">
        <v>249</v>
      </c>
      <c r="B36">
        <v>49</v>
      </c>
      <c r="C36">
        <v>3</v>
      </c>
      <c r="D36">
        <v>2</v>
      </c>
      <c r="E36">
        <v>124</v>
      </c>
      <c r="F36">
        <v>199</v>
      </c>
      <c r="G36">
        <v>3</v>
      </c>
      <c r="H36">
        <v>0.13</v>
      </c>
      <c r="J36">
        <v>12</v>
      </c>
      <c r="K36">
        <v>47.1</v>
      </c>
      <c r="M36" t="s">
        <v>281</v>
      </c>
      <c r="N36">
        <v>42</v>
      </c>
      <c r="O36">
        <v>2</v>
      </c>
      <c r="P36">
        <v>1</v>
      </c>
      <c r="Q36">
        <v>107</v>
      </c>
      <c r="R36">
        <v>152</v>
      </c>
      <c r="S36">
        <v>1</v>
      </c>
      <c r="T36">
        <v>7.0000000000000007E-2</v>
      </c>
      <c r="V36">
        <v>3</v>
      </c>
      <c r="W36">
        <v>31.2</v>
      </c>
    </row>
    <row r="37" spans="1:23" x14ac:dyDescent="0.2">
      <c r="A37" t="s">
        <v>250</v>
      </c>
      <c r="B37">
        <v>54</v>
      </c>
      <c r="C37">
        <v>6</v>
      </c>
      <c r="D37">
        <v>3</v>
      </c>
      <c r="E37">
        <v>118</v>
      </c>
      <c r="F37">
        <v>209</v>
      </c>
      <c r="G37">
        <v>10</v>
      </c>
      <c r="H37">
        <v>0.14000000000000001</v>
      </c>
      <c r="J37">
        <v>1</v>
      </c>
      <c r="K37">
        <v>98</v>
      </c>
      <c r="M37" t="s">
        <v>224</v>
      </c>
      <c r="N37">
        <v>41</v>
      </c>
      <c r="O37">
        <v>2</v>
      </c>
      <c r="P37">
        <v>1</v>
      </c>
      <c r="Q37">
        <v>95</v>
      </c>
      <c r="R37">
        <v>136</v>
      </c>
      <c r="S37">
        <v>1</v>
      </c>
      <c r="T37">
        <v>0.05</v>
      </c>
      <c r="V37">
        <v>1</v>
      </c>
      <c r="W37">
        <v>58.7</v>
      </c>
    </row>
    <row r="38" spans="1:23" x14ac:dyDescent="0.2">
      <c r="A38" t="s">
        <v>251</v>
      </c>
      <c r="B38">
        <v>57</v>
      </c>
      <c r="C38">
        <v>5</v>
      </c>
      <c r="D38">
        <v>5</v>
      </c>
      <c r="E38">
        <v>74</v>
      </c>
      <c r="F38">
        <v>199</v>
      </c>
      <c r="G38">
        <v>16</v>
      </c>
      <c r="H38">
        <v>0.5</v>
      </c>
      <c r="J38">
        <v>4</v>
      </c>
      <c r="K38">
        <v>75.7</v>
      </c>
      <c r="M38" t="s">
        <v>282</v>
      </c>
      <c r="N38">
        <v>40</v>
      </c>
      <c r="O38">
        <v>1</v>
      </c>
      <c r="P38">
        <v>1</v>
      </c>
      <c r="Q38">
        <v>110</v>
      </c>
      <c r="R38">
        <v>135</v>
      </c>
      <c r="S38">
        <v>1</v>
      </c>
      <c r="T38">
        <v>0.08</v>
      </c>
      <c r="V38">
        <v>1</v>
      </c>
      <c r="W38">
        <v>34.1</v>
      </c>
    </row>
    <row r="39" spans="1:23" x14ac:dyDescent="0.2">
      <c r="A39" t="s">
        <v>448</v>
      </c>
      <c r="B39">
        <v>51</v>
      </c>
      <c r="C39">
        <v>1</v>
      </c>
      <c r="D39">
        <v>2</v>
      </c>
      <c r="E39">
        <v>7</v>
      </c>
      <c r="F39">
        <v>14</v>
      </c>
      <c r="G39" t="s">
        <v>439</v>
      </c>
      <c r="H39">
        <v>0.02</v>
      </c>
      <c r="J39" t="s">
        <v>439</v>
      </c>
      <c r="K39">
        <v>1.9</v>
      </c>
      <c r="M39" t="s">
        <v>225</v>
      </c>
      <c r="N39">
        <v>43</v>
      </c>
      <c r="O39">
        <v>1</v>
      </c>
      <c r="P39">
        <v>1</v>
      </c>
      <c r="Q39">
        <v>119</v>
      </c>
      <c r="R39">
        <v>166</v>
      </c>
      <c r="S39">
        <v>1</v>
      </c>
      <c r="T39">
        <v>0.08</v>
      </c>
      <c r="V39">
        <v>1</v>
      </c>
      <c r="W39">
        <v>35</v>
      </c>
    </row>
    <row r="40" spans="1:23" x14ac:dyDescent="0.2">
      <c r="A40" t="s">
        <v>176</v>
      </c>
      <c r="B40">
        <v>27</v>
      </c>
      <c r="C40">
        <v>1</v>
      </c>
      <c r="D40">
        <v>1</v>
      </c>
      <c r="E40">
        <v>33</v>
      </c>
      <c r="F40">
        <v>44</v>
      </c>
      <c r="G40">
        <v>1</v>
      </c>
      <c r="H40">
        <v>0.02</v>
      </c>
      <c r="J40">
        <v>2</v>
      </c>
      <c r="K40">
        <v>0.8</v>
      </c>
      <c r="M40" t="s">
        <v>226</v>
      </c>
      <c r="N40">
        <v>44</v>
      </c>
      <c r="O40">
        <v>2</v>
      </c>
      <c r="P40">
        <v>2</v>
      </c>
      <c r="Q40">
        <v>72</v>
      </c>
      <c r="R40">
        <v>153</v>
      </c>
      <c r="S40">
        <v>13</v>
      </c>
      <c r="T40">
        <v>0.12</v>
      </c>
      <c r="V40">
        <v>1</v>
      </c>
      <c r="W40">
        <v>47.4</v>
      </c>
    </row>
    <row r="41" spans="1:23" x14ac:dyDescent="0.2">
      <c r="A41" t="s">
        <v>252</v>
      </c>
      <c r="B41">
        <v>27</v>
      </c>
      <c r="C41">
        <v>1</v>
      </c>
      <c r="D41">
        <v>2</v>
      </c>
      <c r="E41">
        <v>31</v>
      </c>
      <c r="F41">
        <v>44</v>
      </c>
      <c r="G41">
        <v>1</v>
      </c>
      <c r="H41">
        <v>0.02</v>
      </c>
      <c r="J41">
        <v>1</v>
      </c>
      <c r="K41">
        <v>1.8</v>
      </c>
      <c r="M41" t="s">
        <v>209</v>
      </c>
      <c r="N41">
        <v>43</v>
      </c>
      <c r="O41">
        <v>2</v>
      </c>
      <c r="P41">
        <v>1</v>
      </c>
      <c r="Q41">
        <v>110</v>
      </c>
      <c r="R41">
        <v>155</v>
      </c>
      <c r="S41">
        <v>1</v>
      </c>
      <c r="T41">
        <v>0.08</v>
      </c>
      <c r="V41">
        <v>3</v>
      </c>
      <c r="W41">
        <v>31.2</v>
      </c>
    </row>
    <row r="42" spans="1:23" x14ac:dyDescent="0.2">
      <c r="A42" t="s">
        <v>45</v>
      </c>
      <c r="B42">
        <v>27</v>
      </c>
      <c r="C42">
        <v>1</v>
      </c>
      <c r="D42">
        <v>1</v>
      </c>
      <c r="E42">
        <v>25</v>
      </c>
      <c r="F42">
        <v>35</v>
      </c>
      <c r="G42">
        <v>1</v>
      </c>
      <c r="H42">
        <v>0.02</v>
      </c>
      <c r="J42">
        <v>1</v>
      </c>
      <c r="K42">
        <v>0.5</v>
      </c>
      <c r="M42" t="s">
        <v>210</v>
      </c>
      <c r="N42">
        <v>42</v>
      </c>
      <c r="O42">
        <v>2</v>
      </c>
      <c r="P42">
        <v>1</v>
      </c>
      <c r="Q42">
        <v>127</v>
      </c>
      <c r="R42">
        <v>177</v>
      </c>
      <c r="S42">
        <v>2</v>
      </c>
      <c r="T42">
        <v>0.09</v>
      </c>
      <c r="V42">
        <v>4</v>
      </c>
      <c r="W42">
        <v>33.5</v>
      </c>
    </row>
    <row r="43" spans="1:23" x14ac:dyDescent="0.2">
      <c r="A43" t="s">
        <v>177</v>
      </c>
      <c r="B43">
        <v>26</v>
      </c>
      <c r="C43">
        <v>1</v>
      </c>
      <c r="D43">
        <v>1</v>
      </c>
      <c r="E43">
        <v>32</v>
      </c>
      <c r="F43">
        <v>43</v>
      </c>
      <c r="G43">
        <v>1</v>
      </c>
      <c r="H43">
        <v>0.02</v>
      </c>
      <c r="J43">
        <v>2</v>
      </c>
      <c r="K43">
        <v>0.7</v>
      </c>
      <c r="M43" t="s">
        <v>211</v>
      </c>
      <c r="N43">
        <v>40</v>
      </c>
      <c r="O43">
        <v>2</v>
      </c>
      <c r="P43">
        <v>2</v>
      </c>
      <c r="Q43">
        <v>114</v>
      </c>
      <c r="R43">
        <v>157</v>
      </c>
      <c r="S43">
        <v>1</v>
      </c>
      <c r="T43">
        <v>0.09</v>
      </c>
      <c r="V43">
        <v>3</v>
      </c>
      <c r="W43">
        <v>70.2</v>
      </c>
    </row>
    <row r="44" spans="1:23" x14ac:dyDescent="0.2">
      <c r="A44" t="s">
        <v>297</v>
      </c>
      <c r="B44">
        <v>26</v>
      </c>
      <c r="C44">
        <v>1</v>
      </c>
      <c r="D44">
        <v>1</v>
      </c>
      <c r="E44">
        <v>31</v>
      </c>
      <c r="F44">
        <v>46</v>
      </c>
      <c r="G44">
        <v>1</v>
      </c>
      <c r="H44">
        <v>0.01</v>
      </c>
      <c r="J44">
        <v>4</v>
      </c>
      <c r="K44">
        <v>1</v>
      </c>
      <c r="M44" t="s">
        <v>283</v>
      </c>
      <c r="N44">
        <v>44</v>
      </c>
      <c r="O44">
        <v>3</v>
      </c>
      <c r="P44">
        <v>3</v>
      </c>
      <c r="Q44">
        <v>78</v>
      </c>
      <c r="R44">
        <v>161</v>
      </c>
      <c r="S44">
        <v>12</v>
      </c>
      <c r="T44">
        <v>0.35</v>
      </c>
      <c r="V44">
        <v>1</v>
      </c>
      <c r="W44">
        <v>53.5</v>
      </c>
    </row>
    <row r="45" spans="1:23" x14ac:dyDescent="0.2">
      <c r="A45" t="s">
        <v>449</v>
      </c>
      <c r="B45">
        <v>30</v>
      </c>
      <c r="C45">
        <v>1</v>
      </c>
      <c r="D45">
        <v>1</v>
      </c>
      <c r="E45">
        <v>5</v>
      </c>
      <c r="F45">
        <v>49</v>
      </c>
      <c r="G45" t="s">
        <v>439</v>
      </c>
      <c r="H45">
        <v>0.02</v>
      </c>
      <c r="J45" t="s">
        <v>439</v>
      </c>
      <c r="K45">
        <v>4.2</v>
      </c>
      <c r="M45" t="s">
        <v>212</v>
      </c>
      <c r="N45">
        <v>43</v>
      </c>
      <c r="O45">
        <v>1</v>
      </c>
      <c r="P45">
        <v>1</v>
      </c>
      <c r="Q45">
        <v>123</v>
      </c>
      <c r="R45">
        <v>174</v>
      </c>
      <c r="S45">
        <v>3</v>
      </c>
      <c r="T45">
        <v>0.06</v>
      </c>
      <c r="V45">
        <v>1</v>
      </c>
      <c r="W45">
        <v>67.8</v>
      </c>
    </row>
    <row r="46" spans="1:23" x14ac:dyDescent="0.2">
      <c r="A46" t="s">
        <v>179</v>
      </c>
      <c r="B46">
        <v>37</v>
      </c>
      <c r="C46">
        <v>1</v>
      </c>
      <c r="D46">
        <v>3</v>
      </c>
      <c r="E46">
        <v>63</v>
      </c>
      <c r="F46">
        <v>77</v>
      </c>
      <c r="G46">
        <v>1</v>
      </c>
      <c r="H46">
        <v>0.06</v>
      </c>
      <c r="J46">
        <v>1</v>
      </c>
      <c r="K46">
        <v>7.3</v>
      </c>
      <c r="M46" t="s">
        <v>213</v>
      </c>
      <c r="N46">
        <v>44</v>
      </c>
      <c r="O46">
        <v>0</v>
      </c>
      <c r="P46">
        <v>0</v>
      </c>
      <c r="Q46">
        <v>149</v>
      </c>
      <c r="R46">
        <v>158</v>
      </c>
      <c r="S46">
        <v>1</v>
      </c>
      <c r="T46">
        <v>0.51</v>
      </c>
      <c r="V46">
        <v>1</v>
      </c>
      <c r="W46">
        <v>31.3</v>
      </c>
    </row>
    <row r="47" spans="1:23" x14ac:dyDescent="0.2">
      <c r="A47" t="s">
        <v>253</v>
      </c>
      <c r="B47">
        <v>38</v>
      </c>
      <c r="C47">
        <v>2</v>
      </c>
      <c r="D47">
        <v>1</v>
      </c>
      <c r="E47">
        <v>57</v>
      </c>
      <c r="F47">
        <v>86</v>
      </c>
      <c r="G47">
        <v>3</v>
      </c>
      <c r="H47">
        <v>0.06</v>
      </c>
      <c r="J47" t="s">
        <v>439</v>
      </c>
      <c r="K47">
        <v>0.2</v>
      </c>
      <c r="M47" t="s">
        <v>284</v>
      </c>
      <c r="N47">
        <v>44</v>
      </c>
      <c r="O47">
        <v>0</v>
      </c>
      <c r="P47">
        <v>0</v>
      </c>
      <c r="Q47">
        <v>149</v>
      </c>
      <c r="R47">
        <v>158</v>
      </c>
      <c r="S47">
        <v>1</v>
      </c>
      <c r="T47">
        <v>0.54</v>
      </c>
      <c r="V47">
        <v>1</v>
      </c>
      <c r="W47">
        <v>32</v>
      </c>
    </row>
    <row r="48" spans="1:23" x14ac:dyDescent="0.2">
      <c r="A48" t="s">
        <v>190</v>
      </c>
      <c r="B48">
        <v>42</v>
      </c>
      <c r="C48">
        <v>1</v>
      </c>
      <c r="D48">
        <v>3</v>
      </c>
      <c r="E48">
        <v>63</v>
      </c>
      <c r="F48">
        <v>77</v>
      </c>
      <c r="G48">
        <v>1</v>
      </c>
      <c r="H48">
        <v>0.06</v>
      </c>
      <c r="J48">
        <v>1</v>
      </c>
      <c r="K48">
        <v>7.3</v>
      </c>
      <c r="M48" t="s">
        <v>285</v>
      </c>
      <c r="N48">
        <v>43</v>
      </c>
      <c r="O48">
        <v>2</v>
      </c>
      <c r="P48">
        <v>1</v>
      </c>
      <c r="Q48">
        <v>120</v>
      </c>
      <c r="R48">
        <v>153</v>
      </c>
      <c r="S48">
        <v>1</v>
      </c>
      <c r="T48">
        <v>0.03</v>
      </c>
      <c r="V48">
        <v>1</v>
      </c>
      <c r="W48">
        <v>30.6</v>
      </c>
    </row>
    <row r="49" spans="1:23" x14ac:dyDescent="0.2">
      <c r="A49" t="s">
        <v>298</v>
      </c>
      <c r="B49">
        <v>42</v>
      </c>
      <c r="C49">
        <v>2</v>
      </c>
      <c r="D49">
        <v>1</v>
      </c>
      <c r="E49">
        <v>57</v>
      </c>
      <c r="F49">
        <v>82</v>
      </c>
      <c r="G49">
        <v>2</v>
      </c>
      <c r="H49">
        <v>0.04</v>
      </c>
      <c r="J49">
        <v>1</v>
      </c>
      <c r="K49">
        <v>7.8</v>
      </c>
      <c r="M49" t="s">
        <v>286</v>
      </c>
      <c r="N49">
        <v>44</v>
      </c>
      <c r="O49">
        <v>2</v>
      </c>
      <c r="P49">
        <v>2</v>
      </c>
      <c r="Q49">
        <v>108</v>
      </c>
      <c r="R49">
        <v>153</v>
      </c>
      <c r="S49">
        <v>1</v>
      </c>
      <c r="T49">
        <v>7.0000000000000007E-2</v>
      </c>
      <c r="V49">
        <v>3</v>
      </c>
      <c r="W49">
        <v>31.6</v>
      </c>
    </row>
    <row r="50" spans="1:23" x14ac:dyDescent="0.2">
      <c r="A50" t="s">
        <v>192</v>
      </c>
      <c r="B50">
        <v>37</v>
      </c>
      <c r="C50">
        <v>5</v>
      </c>
      <c r="D50">
        <v>4</v>
      </c>
      <c r="E50">
        <v>59</v>
      </c>
      <c r="F50">
        <v>80</v>
      </c>
      <c r="G50">
        <v>1</v>
      </c>
      <c r="H50">
        <v>0.04</v>
      </c>
      <c r="J50">
        <v>1</v>
      </c>
      <c r="K50">
        <v>7.4</v>
      </c>
      <c r="M50" t="s">
        <v>214</v>
      </c>
      <c r="N50">
        <v>41</v>
      </c>
      <c r="O50">
        <v>2</v>
      </c>
      <c r="P50">
        <v>1</v>
      </c>
      <c r="Q50">
        <v>106</v>
      </c>
      <c r="R50">
        <v>161</v>
      </c>
      <c r="S50">
        <v>5</v>
      </c>
      <c r="T50">
        <v>7.0000000000000007E-2</v>
      </c>
      <c r="V50">
        <v>3</v>
      </c>
      <c r="W50">
        <v>35.5</v>
      </c>
    </row>
    <row r="51" spans="1:23" x14ac:dyDescent="0.2">
      <c r="A51" t="s">
        <v>254</v>
      </c>
      <c r="B51">
        <v>37</v>
      </c>
      <c r="C51">
        <v>2</v>
      </c>
      <c r="D51">
        <v>1</v>
      </c>
      <c r="E51">
        <v>49</v>
      </c>
      <c r="F51">
        <v>75</v>
      </c>
      <c r="G51">
        <v>1</v>
      </c>
      <c r="H51">
        <v>0.06</v>
      </c>
      <c r="J51">
        <v>3</v>
      </c>
      <c r="K51">
        <v>14.9</v>
      </c>
      <c r="M51" t="s">
        <v>215</v>
      </c>
      <c r="N51">
        <v>39</v>
      </c>
      <c r="O51">
        <v>2</v>
      </c>
      <c r="P51">
        <v>2</v>
      </c>
      <c r="Q51">
        <v>119</v>
      </c>
      <c r="R51">
        <v>137</v>
      </c>
      <c r="S51" t="s">
        <v>439</v>
      </c>
      <c r="T51">
        <v>0.03</v>
      </c>
      <c r="V51">
        <v>1</v>
      </c>
      <c r="W51">
        <v>53.1</v>
      </c>
    </row>
    <row r="52" spans="1:23" x14ac:dyDescent="0.2">
      <c r="A52" t="s">
        <v>255</v>
      </c>
      <c r="B52">
        <v>36</v>
      </c>
      <c r="C52">
        <v>2</v>
      </c>
      <c r="D52">
        <v>1</v>
      </c>
      <c r="E52">
        <v>67</v>
      </c>
      <c r="F52">
        <v>75</v>
      </c>
      <c r="G52" t="s">
        <v>439</v>
      </c>
      <c r="H52">
        <v>0.03</v>
      </c>
      <c r="J52">
        <v>1</v>
      </c>
      <c r="K52">
        <v>13.2</v>
      </c>
      <c r="M52" t="s">
        <v>287</v>
      </c>
      <c r="N52">
        <v>39</v>
      </c>
      <c r="O52">
        <v>2</v>
      </c>
      <c r="P52">
        <v>2</v>
      </c>
      <c r="Q52">
        <v>115</v>
      </c>
      <c r="R52">
        <v>133</v>
      </c>
      <c r="S52" t="s">
        <v>439</v>
      </c>
      <c r="T52">
        <v>0.04</v>
      </c>
      <c r="V52">
        <v>1</v>
      </c>
      <c r="W52">
        <v>16.3</v>
      </c>
    </row>
    <row r="53" spans="1:23" x14ac:dyDescent="0.2">
      <c r="A53" t="s">
        <v>70</v>
      </c>
      <c r="B53">
        <v>37</v>
      </c>
      <c r="C53">
        <v>1</v>
      </c>
      <c r="D53">
        <v>3</v>
      </c>
      <c r="E53">
        <v>67</v>
      </c>
      <c r="F53">
        <v>81</v>
      </c>
      <c r="G53">
        <v>1</v>
      </c>
      <c r="H53">
        <v>7.0000000000000007E-2</v>
      </c>
      <c r="J53">
        <v>1</v>
      </c>
      <c r="K53">
        <v>8.3000000000000007</v>
      </c>
      <c r="M53" t="s">
        <v>288</v>
      </c>
      <c r="N53">
        <v>47</v>
      </c>
      <c r="O53">
        <v>2</v>
      </c>
      <c r="P53">
        <v>4</v>
      </c>
      <c r="Q53">
        <v>74</v>
      </c>
      <c r="R53">
        <v>136</v>
      </c>
      <c r="S53" t="s">
        <v>439</v>
      </c>
      <c r="T53">
        <v>0.28000000000000003</v>
      </c>
      <c r="V53">
        <v>1</v>
      </c>
      <c r="W53">
        <v>16.899999999999999</v>
      </c>
    </row>
    <row r="54" spans="1:23" x14ac:dyDescent="0.2">
      <c r="A54" t="s">
        <v>256</v>
      </c>
      <c r="B54">
        <v>39</v>
      </c>
      <c r="C54">
        <v>1</v>
      </c>
      <c r="D54">
        <v>3</v>
      </c>
      <c r="E54">
        <v>80</v>
      </c>
      <c r="F54">
        <v>102</v>
      </c>
      <c r="G54">
        <v>1</v>
      </c>
      <c r="H54">
        <v>0.08</v>
      </c>
      <c r="J54">
        <v>1</v>
      </c>
      <c r="K54">
        <v>9.1999999999999993</v>
      </c>
      <c r="M54" t="s">
        <v>289</v>
      </c>
      <c r="N54">
        <v>43</v>
      </c>
      <c r="O54">
        <v>2</v>
      </c>
      <c r="P54">
        <v>2</v>
      </c>
      <c r="Q54">
        <v>71</v>
      </c>
      <c r="R54">
        <v>133</v>
      </c>
      <c r="S54" t="s">
        <v>439</v>
      </c>
      <c r="T54">
        <v>0.15</v>
      </c>
      <c r="V54">
        <v>1</v>
      </c>
      <c r="W54">
        <v>40.6</v>
      </c>
    </row>
    <row r="55" spans="1:23" x14ac:dyDescent="0.2">
      <c r="A55" t="s">
        <v>194</v>
      </c>
      <c r="B55">
        <v>36</v>
      </c>
      <c r="C55">
        <v>1</v>
      </c>
      <c r="D55">
        <v>3</v>
      </c>
      <c r="E55">
        <v>94</v>
      </c>
      <c r="F55">
        <v>113</v>
      </c>
      <c r="G55">
        <v>1</v>
      </c>
      <c r="H55">
        <v>7.0000000000000007E-2</v>
      </c>
      <c r="J55">
        <v>3</v>
      </c>
      <c r="K55">
        <v>9.3000000000000007</v>
      </c>
      <c r="M55" t="s">
        <v>216</v>
      </c>
      <c r="N55">
        <v>41</v>
      </c>
      <c r="O55">
        <v>2</v>
      </c>
      <c r="P55">
        <v>1</v>
      </c>
      <c r="Q55">
        <v>119</v>
      </c>
      <c r="R55">
        <v>151</v>
      </c>
      <c r="S55">
        <v>1</v>
      </c>
      <c r="T55">
        <v>0.04</v>
      </c>
      <c r="V55">
        <v>1</v>
      </c>
      <c r="W55">
        <v>29.5</v>
      </c>
    </row>
    <row r="56" spans="1:23" x14ac:dyDescent="0.2">
      <c r="A56" t="s">
        <v>258</v>
      </c>
      <c r="B56">
        <v>36</v>
      </c>
      <c r="C56">
        <v>1</v>
      </c>
      <c r="D56">
        <v>3</v>
      </c>
      <c r="E56">
        <v>59</v>
      </c>
      <c r="F56">
        <v>73</v>
      </c>
      <c r="G56">
        <v>1</v>
      </c>
      <c r="H56">
        <v>0.06</v>
      </c>
      <c r="J56">
        <v>1</v>
      </c>
      <c r="K56">
        <v>7.1</v>
      </c>
      <c r="M56" t="s">
        <v>290</v>
      </c>
      <c r="N56">
        <v>42</v>
      </c>
      <c r="O56">
        <v>2</v>
      </c>
      <c r="P56">
        <v>1</v>
      </c>
      <c r="Q56">
        <v>106</v>
      </c>
      <c r="R56">
        <v>151</v>
      </c>
      <c r="S56">
        <v>1</v>
      </c>
      <c r="T56">
        <v>0.08</v>
      </c>
      <c r="V56">
        <v>3</v>
      </c>
      <c r="W56">
        <v>32.200000000000003</v>
      </c>
    </row>
    <row r="57" spans="1:23" x14ac:dyDescent="0.2">
      <c r="A57" t="s">
        <v>196</v>
      </c>
      <c r="B57">
        <v>36</v>
      </c>
      <c r="C57">
        <v>1</v>
      </c>
      <c r="D57">
        <v>3</v>
      </c>
      <c r="E57">
        <v>76</v>
      </c>
      <c r="F57">
        <v>96</v>
      </c>
      <c r="G57">
        <v>1</v>
      </c>
      <c r="H57">
        <v>0.08</v>
      </c>
      <c r="J57">
        <v>3</v>
      </c>
      <c r="K57">
        <v>9.8000000000000007</v>
      </c>
      <c r="M57" t="s">
        <v>217</v>
      </c>
      <c r="N57">
        <v>40</v>
      </c>
      <c r="O57">
        <v>1</v>
      </c>
      <c r="P57">
        <v>2</v>
      </c>
      <c r="Q57">
        <v>131</v>
      </c>
      <c r="R57">
        <v>162</v>
      </c>
      <c r="S57">
        <v>3</v>
      </c>
      <c r="T57">
        <v>0.04</v>
      </c>
      <c r="V57" t="s">
        <v>439</v>
      </c>
      <c r="W57">
        <v>0.4</v>
      </c>
    </row>
    <row r="58" spans="1:23" x14ac:dyDescent="0.2">
      <c r="A58" t="s">
        <v>197</v>
      </c>
      <c r="B58">
        <v>38</v>
      </c>
      <c r="C58">
        <v>2</v>
      </c>
      <c r="D58">
        <v>1</v>
      </c>
      <c r="E58">
        <v>91</v>
      </c>
      <c r="F58">
        <v>100</v>
      </c>
      <c r="G58">
        <v>1</v>
      </c>
      <c r="H58">
        <v>0.05</v>
      </c>
      <c r="J58">
        <v>2</v>
      </c>
      <c r="K58">
        <v>10.8</v>
      </c>
      <c r="M58" t="s">
        <v>291</v>
      </c>
      <c r="N58">
        <v>40</v>
      </c>
      <c r="O58">
        <v>2</v>
      </c>
      <c r="P58">
        <v>2</v>
      </c>
      <c r="Q58">
        <v>118</v>
      </c>
      <c r="R58">
        <v>160</v>
      </c>
      <c r="S58">
        <v>1</v>
      </c>
      <c r="T58">
        <v>0.08</v>
      </c>
      <c r="V58">
        <v>3</v>
      </c>
      <c r="W58">
        <v>30.9</v>
      </c>
    </row>
    <row r="59" spans="1:23" x14ac:dyDescent="0.2">
      <c r="A59" t="s">
        <v>181</v>
      </c>
      <c r="B59">
        <v>36</v>
      </c>
      <c r="C59">
        <v>1</v>
      </c>
      <c r="D59">
        <v>3</v>
      </c>
      <c r="E59">
        <v>68</v>
      </c>
      <c r="F59">
        <v>87</v>
      </c>
      <c r="G59">
        <v>1</v>
      </c>
      <c r="H59">
        <v>7.0000000000000007E-2</v>
      </c>
      <c r="J59">
        <v>3</v>
      </c>
      <c r="K59">
        <v>8.9</v>
      </c>
      <c r="M59" t="s">
        <v>292</v>
      </c>
      <c r="N59">
        <v>49</v>
      </c>
      <c r="O59">
        <v>1</v>
      </c>
      <c r="P59">
        <v>3</v>
      </c>
      <c r="Q59">
        <v>85</v>
      </c>
      <c r="R59">
        <v>160</v>
      </c>
      <c r="S59">
        <v>1</v>
      </c>
      <c r="T59">
        <v>0.34</v>
      </c>
      <c r="V59">
        <v>2</v>
      </c>
      <c r="W59">
        <v>54.9</v>
      </c>
    </row>
    <row r="60" spans="1:23" x14ac:dyDescent="0.2">
      <c r="A60" t="s">
        <v>182</v>
      </c>
      <c r="B60">
        <v>36</v>
      </c>
      <c r="C60">
        <v>1</v>
      </c>
      <c r="D60">
        <v>3</v>
      </c>
      <c r="E60">
        <v>63</v>
      </c>
      <c r="F60">
        <v>77</v>
      </c>
      <c r="G60">
        <v>1</v>
      </c>
      <c r="H60">
        <v>0.05</v>
      </c>
      <c r="J60">
        <v>1</v>
      </c>
      <c r="K60">
        <v>7.3</v>
      </c>
      <c r="M60" t="s">
        <v>218</v>
      </c>
      <c r="N60">
        <v>40</v>
      </c>
      <c r="O60">
        <v>1</v>
      </c>
      <c r="P60">
        <v>2</v>
      </c>
      <c r="Q60">
        <v>141</v>
      </c>
      <c r="R60">
        <v>169</v>
      </c>
      <c r="S60">
        <v>1</v>
      </c>
      <c r="T60">
        <v>0.05</v>
      </c>
      <c r="V60">
        <v>3</v>
      </c>
      <c r="W60">
        <v>29.1</v>
      </c>
    </row>
    <row r="61" spans="1:23" x14ac:dyDescent="0.2">
      <c r="A61" t="s">
        <v>183</v>
      </c>
      <c r="B61">
        <v>36</v>
      </c>
      <c r="C61">
        <v>2</v>
      </c>
      <c r="D61">
        <v>3</v>
      </c>
      <c r="E61">
        <v>51</v>
      </c>
      <c r="F61">
        <v>60</v>
      </c>
      <c r="G61">
        <v>1</v>
      </c>
      <c r="H61">
        <v>0.03</v>
      </c>
      <c r="J61">
        <v>1</v>
      </c>
      <c r="K61">
        <v>11.6</v>
      </c>
      <c r="M61" t="s">
        <v>293</v>
      </c>
      <c r="N61">
        <v>50</v>
      </c>
      <c r="O61">
        <v>2</v>
      </c>
      <c r="P61">
        <v>3</v>
      </c>
      <c r="Q61">
        <v>106</v>
      </c>
      <c r="R61">
        <v>175</v>
      </c>
      <c r="S61">
        <v>7</v>
      </c>
      <c r="T61">
        <v>0.63</v>
      </c>
      <c r="V61">
        <v>1</v>
      </c>
      <c r="W61">
        <v>28</v>
      </c>
    </row>
    <row r="62" spans="1:23" x14ac:dyDescent="0.2">
      <c r="A62" t="s">
        <v>259</v>
      </c>
      <c r="B62">
        <v>37</v>
      </c>
      <c r="C62">
        <v>1</v>
      </c>
      <c r="D62">
        <v>3</v>
      </c>
      <c r="E62">
        <v>71</v>
      </c>
      <c r="F62">
        <v>85</v>
      </c>
      <c r="G62">
        <v>1</v>
      </c>
      <c r="H62">
        <v>0.05</v>
      </c>
      <c r="J62">
        <v>1</v>
      </c>
      <c r="K62">
        <v>7.3</v>
      </c>
      <c r="M62" t="s">
        <v>294</v>
      </c>
      <c r="N62">
        <v>44</v>
      </c>
      <c r="O62">
        <v>1</v>
      </c>
      <c r="P62">
        <v>3</v>
      </c>
      <c r="Q62">
        <v>81</v>
      </c>
      <c r="R62">
        <v>174</v>
      </c>
      <c r="S62">
        <v>8</v>
      </c>
      <c r="T62">
        <v>0.32</v>
      </c>
      <c r="V62" t="s">
        <v>439</v>
      </c>
      <c r="W62">
        <v>0.5</v>
      </c>
    </row>
    <row r="63" spans="1:23" x14ac:dyDescent="0.2">
      <c r="A63" t="s">
        <v>185</v>
      </c>
      <c r="B63">
        <v>40</v>
      </c>
      <c r="C63">
        <v>1</v>
      </c>
      <c r="D63">
        <v>3</v>
      </c>
      <c r="E63">
        <v>107</v>
      </c>
      <c r="F63">
        <v>126</v>
      </c>
      <c r="G63">
        <v>1</v>
      </c>
      <c r="H63">
        <v>7.0000000000000007E-2</v>
      </c>
      <c r="J63">
        <v>3</v>
      </c>
      <c r="K63">
        <v>13.6</v>
      </c>
    </row>
  </sheetData>
  <sortState ref="A2:K136">
    <sortCondition ref="I1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E338-D45E-3141-A35F-73CD7BF077C5}">
  <dimension ref="A1:X161"/>
  <sheetViews>
    <sheetView tabSelected="1" workbookViewId="0">
      <selection activeCell="H158" sqref="H158"/>
    </sheetView>
  </sheetViews>
  <sheetFormatPr baseColWidth="10" defaultRowHeight="16" x14ac:dyDescent="0.2"/>
  <cols>
    <col min="1" max="1" width="34.1640625" customWidth="1"/>
  </cols>
  <sheetData>
    <row r="1" spans="1:24" x14ac:dyDescent="0.2">
      <c r="A1" t="s">
        <v>452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446</v>
      </c>
      <c r="I1" t="s">
        <v>296</v>
      </c>
      <c r="J1" t="s">
        <v>447</v>
      </c>
      <c r="K1" t="s">
        <v>295</v>
      </c>
      <c r="L1" t="s">
        <v>296</v>
      </c>
      <c r="N1" t="s">
        <v>452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446</v>
      </c>
      <c r="U1" t="s">
        <v>296</v>
      </c>
      <c r="V1" t="s">
        <v>447</v>
      </c>
      <c r="W1" t="s">
        <v>295</v>
      </c>
      <c r="X1" t="s">
        <v>296</v>
      </c>
    </row>
    <row r="2" spans="1:24" x14ac:dyDescent="0.2">
      <c r="A2" t="s">
        <v>142</v>
      </c>
      <c r="B2">
        <v>21</v>
      </c>
      <c r="C2">
        <v>1</v>
      </c>
      <c r="D2">
        <v>3</v>
      </c>
      <c r="E2">
        <v>10</v>
      </c>
      <c r="F2">
        <v>74</v>
      </c>
      <c r="G2">
        <v>1</v>
      </c>
      <c r="H2">
        <f>G2/F2</f>
        <v>1.3513513513513514E-2</v>
      </c>
      <c r="I2">
        <v>0.61</v>
      </c>
      <c r="K2">
        <v>1</v>
      </c>
      <c r="L2">
        <v>9.1999999999999993</v>
      </c>
    </row>
    <row r="3" spans="1:24" x14ac:dyDescent="0.2">
      <c r="A3" t="s">
        <v>146</v>
      </c>
      <c r="B3">
        <v>24</v>
      </c>
      <c r="C3">
        <v>1</v>
      </c>
      <c r="D3">
        <v>3</v>
      </c>
      <c r="E3">
        <v>9</v>
      </c>
      <c r="F3">
        <v>48</v>
      </c>
      <c r="G3">
        <v>1</v>
      </c>
      <c r="H3">
        <f t="shared" ref="H3:H66" si="0">G3/F3</f>
        <v>2.0833333333333332E-2</v>
      </c>
      <c r="I3">
        <v>0.13</v>
      </c>
      <c r="K3">
        <v>1</v>
      </c>
      <c r="L3">
        <v>6.1</v>
      </c>
    </row>
    <row r="4" spans="1:24" x14ac:dyDescent="0.2">
      <c r="A4" t="s">
        <v>147</v>
      </c>
      <c r="B4">
        <v>24</v>
      </c>
      <c r="C4">
        <v>0</v>
      </c>
      <c r="D4">
        <v>0</v>
      </c>
      <c r="E4">
        <v>61</v>
      </c>
      <c r="F4">
        <v>64</v>
      </c>
      <c r="G4">
        <v>1</v>
      </c>
      <c r="H4">
        <f t="shared" si="0"/>
        <v>1.5625E-2</v>
      </c>
      <c r="I4">
        <v>0.19</v>
      </c>
      <c r="K4">
        <v>1</v>
      </c>
      <c r="L4">
        <v>8.6999999999999993</v>
      </c>
    </row>
    <row r="5" spans="1:24" x14ac:dyDescent="0.2">
      <c r="A5" t="s">
        <v>148</v>
      </c>
      <c r="B5">
        <v>24</v>
      </c>
      <c r="C5">
        <v>0</v>
      </c>
      <c r="D5">
        <v>0</v>
      </c>
      <c r="E5">
        <v>59</v>
      </c>
      <c r="F5">
        <v>62</v>
      </c>
      <c r="G5">
        <v>1</v>
      </c>
      <c r="H5">
        <f t="shared" si="0"/>
        <v>1.6129032258064516E-2</v>
      </c>
      <c r="I5">
        <v>0.21</v>
      </c>
      <c r="K5">
        <v>1</v>
      </c>
      <c r="L5">
        <v>5.8</v>
      </c>
    </row>
    <row r="6" spans="1:24" x14ac:dyDescent="0.2">
      <c r="A6" t="s">
        <v>149</v>
      </c>
      <c r="B6">
        <v>25</v>
      </c>
      <c r="C6">
        <v>1</v>
      </c>
      <c r="D6">
        <v>3</v>
      </c>
      <c r="E6">
        <v>30</v>
      </c>
      <c r="F6">
        <v>56</v>
      </c>
      <c r="G6">
        <v>1</v>
      </c>
      <c r="H6">
        <f t="shared" si="0"/>
        <v>1.7857142857142856E-2</v>
      </c>
      <c r="I6">
        <v>0.28999999999999998</v>
      </c>
      <c r="K6">
        <v>2</v>
      </c>
      <c r="L6">
        <v>4.4000000000000004</v>
      </c>
    </row>
    <row r="7" spans="1:24" x14ac:dyDescent="0.2">
      <c r="A7" t="s">
        <v>150</v>
      </c>
      <c r="B7">
        <v>25</v>
      </c>
      <c r="C7">
        <v>0</v>
      </c>
      <c r="D7">
        <v>0</v>
      </c>
      <c r="E7">
        <v>50</v>
      </c>
      <c r="F7">
        <v>63</v>
      </c>
      <c r="G7">
        <v>1</v>
      </c>
      <c r="H7">
        <f t="shared" si="0"/>
        <v>1.5873015873015872E-2</v>
      </c>
      <c r="I7">
        <v>0.14000000000000001</v>
      </c>
      <c r="K7">
        <v>1</v>
      </c>
      <c r="L7">
        <v>6.9</v>
      </c>
    </row>
    <row r="8" spans="1:24" x14ac:dyDescent="0.2">
      <c r="A8" t="s">
        <v>228</v>
      </c>
      <c r="B8">
        <v>24</v>
      </c>
      <c r="C8">
        <v>2</v>
      </c>
      <c r="D8">
        <v>9</v>
      </c>
      <c r="E8">
        <v>9</v>
      </c>
      <c r="F8">
        <v>46</v>
      </c>
      <c r="G8">
        <v>2</v>
      </c>
      <c r="H8">
        <f t="shared" si="0"/>
        <v>4.3478260869565216E-2</v>
      </c>
      <c r="I8">
        <v>0.92</v>
      </c>
      <c r="K8">
        <v>1</v>
      </c>
      <c r="L8">
        <v>5.7</v>
      </c>
    </row>
    <row r="9" spans="1:24" x14ac:dyDescent="0.2">
      <c r="A9" t="s">
        <v>151</v>
      </c>
      <c r="B9">
        <v>25</v>
      </c>
      <c r="C9">
        <v>2</v>
      </c>
      <c r="D9">
        <v>6</v>
      </c>
      <c r="E9">
        <v>15</v>
      </c>
      <c r="F9">
        <v>80</v>
      </c>
      <c r="G9" s="7">
        <v>4</v>
      </c>
      <c r="H9">
        <f t="shared" si="0"/>
        <v>0.05</v>
      </c>
      <c r="I9">
        <v>0.53</v>
      </c>
      <c r="K9">
        <v>1</v>
      </c>
      <c r="L9">
        <v>8.8000000000000007</v>
      </c>
    </row>
    <row r="10" spans="1:24" x14ac:dyDescent="0.2">
      <c r="A10" t="s">
        <v>152</v>
      </c>
      <c r="B10">
        <v>27</v>
      </c>
      <c r="C10">
        <v>1</v>
      </c>
      <c r="D10">
        <v>3</v>
      </c>
      <c r="E10">
        <v>43</v>
      </c>
      <c r="F10">
        <v>83</v>
      </c>
      <c r="G10">
        <v>2</v>
      </c>
      <c r="H10">
        <f t="shared" si="0"/>
        <v>2.4096385542168676E-2</v>
      </c>
      <c r="I10">
        <v>0.15</v>
      </c>
      <c r="K10">
        <v>2</v>
      </c>
      <c r="L10">
        <v>8</v>
      </c>
    </row>
    <row r="11" spans="1:24" x14ac:dyDescent="0.2">
      <c r="A11" t="s">
        <v>145</v>
      </c>
      <c r="B11">
        <v>24</v>
      </c>
      <c r="C11">
        <v>2</v>
      </c>
      <c r="D11">
        <v>3</v>
      </c>
      <c r="E11">
        <v>41</v>
      </c>
      <c r="F11">
        <v>83</v>
      </c>
      <c r="G11" s="7">
        <v>5</v>
      </c>
      <c r="H11">
        <f t="shared" si="0"/>
        <v>6.0240963855421686E-2</v>
      </c>
      <c r="I11">
        <v>0.1</v>
      </c>
      <c r="K11">
        <v>1</v>
      </c>
      <c r="L11">
        <v>7</v>
      </c>
    </row>
    <row r="12" spans="1:24" x14ac:dyDescent="0.2">
      <c r="A12" t="s">
        <v>164</v>
      </c>
      <c r="B12">
        <v>56</v>
      </c>
      <c r="C12">
        <v>3</v>
      </c>
      <c r="D12">
        <v>2</v>
      </c>
      <c r="E12">
        <v>56</v>
      </c>
      <c r="F12">
        <v>134</v>
      </c>
      <c r="G12">
        <v>1</v>
      </c>
      <c r="H12">
        <f t="shared" si="0"/>
        <v>7.462686567164179E-3</v>
      </c>
      <c r="I12">
        <v>0.42</v>
      </c>
      <c r="K12">
        <v>12</v>
      </c>
      <c r="L12">
        <v>68.3</v>
      </c>
    </row>
    <row r="13" spans="1:24" x14ac:dyDescent="0.2">
      <c r="A13" t="s">
        <v>229</v>
      </c>
      <c r="B13">
        <v>56</v>
      </c>
      <c r="C13">
        <v>1</v>
      </c>
      <c r="D13">
        <v>3</v>
      </c>
      <c r="E13">
        <v>95</v>
      </c>
      <c r="F13">
        <v>134</v>
      </c>
      <c r="G13">
        <v>1</v>
      </c>
      <c r="H13">
        <f t="shared" si="0"/>
        <v>7.462686567164179E-3</v>
      </c>
      <c r="I13">
        <v>0.27</v>
      </c>
      <c r="K13">
        <v>13</v>
      </c>
      <c r="L13">
        <v>68.5</v>
      </c>
    </row>
    <row r="14" spans="1:24" x14ac:dyDescent="0.2">
      <c r="A14" t="s">
        <v>230</v>
      </c>
      <c r="B14">
        <v>47</v>
      </c>
      <c r="C14">
        <v>7</v>
      </c>
      <c r="D14">
        <v>5</v>
      </c>
      <c r="E14">
        <v>92</v>
      </c>
      <c r="F14">
        <v>147</v>
      </c>
      <c r="G14">
        <v>4</v>
      </c>
      <c r="H14">
        <f t="shared" si="0"/>
        <v>2.7210884353741496E-2</v>
      </c>
      <c r="I14">
        <v>0.08</v>
      </c>
      <c r="K14">
        <v>2</v>
      </c>
      <c r="L14">
        <v>95.2</v>
      </c>
    </row>
    <row r="15" spans="1:24" x14ac:dyDescent="0.2">
      <c r="A15" t="s">
        <v>231</v>
      </c>
      <c r="B15">
        <v>52</v>
      </c>
      <c r="C15">
        <v>5</v>
      </c>
      <c r="D15">
        <v>3</v>
      </c>
      <c r="E15">
        <v>68</v>
      </c>
      <c r="F15">
        <v>133</v>
      </c>
      <c r="G15">
        <v>2</v>
      </c>
      <c r="H15">
        <f t="shared" si="0"/>
        <v>1.5037593984962405E-2</v>
      </c>
      <c r="I15">
        <v>0.13</v>
      </c>
      <c r="K15">
        <v>2</v>
      </c>
      <c r="L15">
        <v>68.099999999999994</v>
      </c>
    </row>
    <row r="16" spans="1:24" x14ac:dyDescent="0.2">
      <c r="A16" t="s">
        <v>168</v>
      </c>
      <c r="B16">
        <v>57</v>
      </c>
      <c r="C16">
        <v>1</v>
      </c>
      <c r="D16">
        <v>3</v>
      </c>
      <c r="E16">
        <v>97</v>
      </c>
      <c r="F16">
        <v>137</v>
      </c>
      <c r="G16">
        <v>4</v>
      </c>
      <c r="H16">
        <f t="shared" si="0"/>
        <v>2.9197080291970802E-2</v>
      </c>
      <c r="I16">
        <v>0.14000000000000001</v>
      </c>
      <c r="K16">
        <v>8</v>
      </c>
      <c r="L16">
        <v>70</v>
      </c>
    </row>
    <row r="17" spans="1:12" x14ac:dyDescent="0.2">
      <c r="A17" t="s">
        <v>232</v>
      </c>
      <c r="B17">
        <v>57</v>
      </c>
      <c r="C17">
        <v>3</v>
      </c>
      <c r="D17">
        <v>2</v>
      </c>
      <c r="E17">
        <v>58</v>
      </c>
      <c r="F17">
        <v>137</v>
      </c>
      <c r="G17">
        <v>6</v>
      </c>
      <c r="H17">
        <f t="shared" si="0"/>
        <v>4.3795620437956206E-2</v>
      </c>
      <c r="I17">
        <v>0.2</v>
      </c>
      <c r="K17">
        <v>7</v>
      </c>
      <c r="L17">
        <v>71.2</v>
      </c>
    </row>
    <row r="18" spans="1:12" x14ac:dyDescent="0.2">
      <c r="A18" t="s">
        <v>233</v>
      </c>
      <c r="B18">
        <v>55</v>
      </c>
      <c r="C18">
        <v>5</v>
      </c>
      <c r="D18">
        <v>3</v>
      </c>
      <c r="E18">
        <v>68</v>
      </c>
      <c r="F18">
        <v>141</v>
      </c>
      <c r="G18">
        <v>1</v>
      </c>
      <c r="H18">
        <f t="shared" si="0"/>
        <v>7.0921985815602835E-3</v>
      </c>
      <c r="I18">
        <v>0.24</v>
      </c>
      <c r="K18">
        <v>1</v>
      </c>
      <c r="L18">
        <v>68.599999999999994</v>
      </c>
    </row>
    <row r="19" spans="1:12" x14ac:dyDescent="0.2">
      <c r="A19" t="s">
        <v>169</v>
      </c>
      <c r="B19">
        <v>46</v>
      </c>
      <c r="C19">
        <v>5</v>
      </c>
      <c r="D19">
        <v>3</v>
      </c>
      <c r="E19">
        <v>95</v>
      </c>
      <c r="F19">
        <v>145</v>
      </c>
      <c r="G19" t="s">
        <v>439</v>
      </c>
      <c r="H19">
        <v>0</v>
      </c>
      <c r="I19">
        <v>0.12</v>
      </c>
      <c r="K19">
        <v>4</v>
      </c>
      <c r="L19">
        <v>70.400000000000006</v>
      </c>
    </row>
    <row r="20" spans="1:12" x14ac:dyDescent="0.2">
      <c r="A20" t="s">
        <v>235</v>
      </c>
      <c r="B20">
        <v>51</v>
      </c>
      <c r="C20">
        <v>7</v>
      </c>
      <c r="D20">
        <v>5</v>
      </c>
      <c r="E20">
        <v>61</v>
      </c>
      <c r="F20">
        <v>154</v>
      </c>
      <c r="G20" s="15">
        <v>11</v>
      </c>
      <c r="H20">
        <f t="shared" si="0"/>
        <v>7.1428571428571425E-2</v>
      </c>
      <c r="I20">
        <v>0.26</v>
      </c>
      <c r="K20">
        <v>1</v>
      </c>
      <c r="L20">
        <v>84.8</v>
      </c>
    </row>
    <row r="21" spans="1:12" x14ac:dyDescent="0.2">
      <c r="A21" t="s">
        <v>171</v>
      </c>
      <c r="B21">
        <v>51</v>
      </c>
      <c r="C21">
        <v>7</v>
      </c>
      <c r="D21">
        <v>5</v>
      </c>
      <c r="E21">
        <v>61</v>
      </c>
      <c r="F21">
        <v>140</v>
      </c>
      <c r="G21">
        <v>8</v>
      </c>
      <c r="H21">
        <f t="shared" si="0"/>
        <v>5.7142857142857141E-2</v>
      </c>
      <c r="I21">
        <v>0.19</v>
      </c>
      <c r="K21">
        <v>1</v>
      </c>
      <c r="L21">
        <v>69.400000000000006</v>
      </c>
    </row>
    <row r="22" spans="1:12" x14ac:dyDescent="0.2">
      <c r="A22" t="s">
        <v>173</v>
      </c>
      <c r="B22">
        <v>59</v>
      </c>
      <c r="C22">
        <v>3</v>
      </c>
      <c r="D22">
        <v>2</v>
      </c>
      <c r="E22">
        <v>57</v>
      </c>
      <c r="F22">
        <v>134</v>
      </c>
      <c r="G22">
        <v>3</v>
      </c>
      <c r="H22">
        <f t="shared" si="0"/>
        <v>2.2388059701492536E-2</v>
      </c>
      <c r="I22">
        <v>0.26</v>
      </c>
      <c r="K22">
        <v>8</v>
      </c>
      <c r="L22">
        <v>62.8</v>
      </c>
    </row>
    <row r="23" spans="1:12" x14ac:dyDescent="0.2">
      <c r="A23" t="s">
        <v>236</v>
      </c>
      <c r="B23">
        <v>59</v>
      </c>
      <c r="C23">
        <v>3</v>
      </c>
      <c r="D23">
        <v>2</v>
      </c>
      <c r="E23">
        <v>57</v>
      </c>
      <c r="F23">
        <v>134</v>
      </c>
      <c r="G23">
        <v>3</v>
      </c>
      <c r="H23">
        <f t="shared" si="0"/>
        <v>2.2388059701492536E-2</v>
      </c>
      <c r="I23">
        <v>0.24</v>
      </c>
      <c r="K23">
        <v>8</v>
      </c>
      <c r="L23">
        <v>62.7</v>
      </c>
    </row>
    <row r="24" spans="1:12" x14ac:dyDescent="0.2">
      <c r="A24" t="s">
        <v>240</v>
      </c>
      <c r="B24">
        <v>55</v>
      </c>
      <c r="C24">
        <v>7</v>
      </c>
      <c r="D24">
        <v>5</v>
      </c>
      <c r="E24">
        <v>75</v>
      </c>
      <c r="F24">
        <v>162</v>
      </c>
      <c r="G24">
        <v>5</v>
      </c>
      <c r="H24">
        <f t="shared" si="0"/>
        <v>3.0864197530864196E-2</v>
      </c>
      <c r="I24">
        <v>0.3</v>
      </c>
      <c r="K24">
        <v>4</v>
      </c>
      <c r="L24">
        <v>91.7</v>
      </c>
    </row>
    <row r="25" spans="1:12" x14ac:dyDescent="0.2">
      <c r="A25" t="s">
        <v>155</v>
      </c>
      <c r="B25">
        <v>54</v>
      </c>
      <c r="C25">
        <v>5</v>
      </c>
      <c r="D25">
        <v>3</v>
      </c>
      <c r="E25">
        <v>135</v>
      </c>
      <c r="F25">
        <v>196</v>
      </c>
      <c r="G25" t="s">
        <v>439</v>
      </c>
      <c r="H25">
        <v>0</v>
      </c>
      <c r="I25">
        <v>0.22</v>
      </c>
      <c r="K25">
        <v>31</v>
      </c>
      <c r="L25">
        <v>77</v>
      </c>
    </row>
    <row r="26" spans="1:12" x14ac:dyDescent="0.2">
      <c r="A26" t="s">
        <v>156</v>
      </c>
      <c r="B26">
        <v>47</v>
      </c>
      <c r="C26">
        <v>5</v>
      </c>
      <c r="D26">
        <v>3</v>
      </c>
      <c r="E26">
        <v>94</v>
      </c>
      <c r="F26">
        <v>146</v>
      </c>
      <c r="G26">
        <v>2</v>
      </c>
      <c r="H26">
        <f t="shared" si="0"/>
        <v>1.3698630136986301E-2</v>
      </c>
      <c r="I26">
        <v>0.17</v>
      </c>
      <c r="K26" t="s">
        <v>439</v>
      </c>
      <c r="L26">
        <v>0.6</v>
      </c>
    </row>
    <row r="27" spans="1:12" x14ac:dyDescent="0.2">
      <c r="A27" t="s">
        <v>242</v>
      </c>
      <c r="B27">
        <v>56</v>
      </c>
      <c r="C27">
        <v>5</v>
      </c>
      <c r="D27">
        <v>3</v>
      </c>
      <c r="E27">
        <v>68</v>
      </c>
      <c r="F27">
        <v>164</v>
      </c>
      <c r="G27">
        <v>8</v>
      </c>
      <c r="H27">
        <f t="shared" si="0"/>
        <v>4.878048780487805E-2</v>
      </c>
      <c r="I27">
        <v>0.19</v>
      </c>
      <c r="K27">
        <v>6</v>
      </c>
      <c r="L27">
        <v>62.9</v>
      </c>
    </row>
    <row r="28" spans="1:12" x14ac:dyDescent="0.2">
      <c r="A28" t="s">
        <v>160</v>
      </c>
      <c r="B28">
        <v>64</v>
      </c>
      <c r="C28">
        <v>7</v>
      </c>
      <c r="D28">
        <v>5</v>
      </c>
      <c r="E28">
        <v>79</v>
      </c>
      <c r="F28">
        <v>181</v>
      </c>
      <c r="G28" s="15">
        <v>12</v>
      </c>
      <c r="H28">
        <f t="shared" si="0"/>
        <v>6.6298342541436461E-2</v>
      </c>
      <c r="I28">
        <v>0.27</v>
      </c>
      <c r="K28">
        <v>3</v>
      </c>
      <c r="L28">
        <v>76.900000000000006</v>
      </c>
    </row>
    <row r="29" spans="1:12" x14ac:dyDescent="0.2">
      <c r="A29" t="s">
        <v>161</v>
      </c>
      <c r="B29">
        <v>48</v>
      </c>
      <c r="C29">
        <v>5</v>
      </c>
      <c r="D29">
        <v>3</v>
      </c>
      <c r="E29">
        <v>113</v>
      </c>
      <c r="F29">
        <v>186</v>
      </c>
      <c r="G29" s="15">
        <v>12</v>
      </c>
      <c r="H29">
        <f t="shared" si="0"/>
        <v>6.4516129032258063E-2</v>
      </c>
      <c r="I29">
        <v>0.19</v>
      </c>
      <c r="K29">
        <v>1</v>
      </c>
      <c r="L29">
        <v>113.7</v>
      </c>
    </row>
    <row r="30" spans="1:12" x14ac:dyDescent="0.2">
      <c r="A30" t="s">
        <v>244</v>
      </c>
      <c r="B30">
        <v>55</v>
      </c>
      <c r="C30">
        <v>7</v>
      </c>
      <c r="D30">
        <v>5</v>
      </c>
      <c r="E30">
        <v>79</v>
      </c>
      <c r="F30">
        <v>177</v>
      </c>
      <c r="G30">
        <v>9</v>
      </c>
      <c r="H30">
        <f t="shared" si="0"/>
        <v>5.0847457627118647E-2</v>
      </c>
      <c r="I30">
        <v>0.18</v>
      </c>
      <c r="K30">
        <v>1</v>
      </c>
      <c r="L30">
        <v>83.9</v>
      </c>
    </row>
    <row r="31" spans="1:12" x14ac:dyDescent="0.2">
      <c r="A31" t="s">
        <v>162</v>
      </c>
      <c r="B31">
        <v>51</v>
      </c>
      <c r="C31">
        <v>3</v>
      </c>
      <c r="D31">
        <v>2</v>
      </c>
      <c r="E31">
        <v>115</v>
      </c>
      <c r="F31">
        <v>187</v>
      </c>
      <c r="G31">
        <v>2</v>
      </c>
      <c r="H31">
        <f t="shared" si="0"/>
        <v>1.06951871657754E-2</v>
      </c>
      <c r="I31">
        <v>1.36</v>
      </c>
      <c r="K31" t="s">
        <v>439</v>
      </c>
      <c r="L31">
        <v>0.7</v>
      </c>
    </row>
    <row r="32" spans="1:12" x14ac:dyDescent="0.2">
      <c r="A32" t="s">
        <v>163</v>
      </c>
      <c r="B32">
        <v>47</v>
      </c>
      <c r="C32">
        <v>5</v>
      </c>
      <c r="D32">
        <v>3</v>
      </c>
      <c r="E32">
        <v>112</v>
      </c>
      <c r="F32">
        <v>158</v>
      </c>
      <c r="G32">
        <v>2</v>
      </c>
      <c r="H32">
        <f t="shared" si="0"/>
        <v>1.2658227848101266E-2</v>
      </c>
      <c r="I32">
        <v>0.09</v>
      </c>
      <c r="K32">
        <v>1</v>
      </c>
      <c r="L32">
        <v>93.6</v>
      </c>
    </row>
    <row r="33" spans="1:12" x14ac:dyDescent="0.2">
      <c r="A33" t="s">
        <v>246</v>
      </c>
      <c r="B33">
        <v>52</v>
      </c>
      <c r="C33">
        <v>6</v>
      </c>
      <c r="D33">
        <v>3</v>
      </c>
      <c r="E33">
        <v>112</v>
      </c>
      <c r="F33">
        <v>175</v>
      </c>
      <c r="G33">
        <v>2</v>
      </c>
      <c r="H33">
        <f t="shared" si="0"/>
        <v>1.1428571428571429E-2</v>
      </c>
      <c r="I33">
        <v>0.06</v>
      </c>
      <c r="K33">
        <v>10</v>
      </c>
      <c r="L33">
        <v>88.7</v>
      </c>
    </row>
    <row r="34" spans="1:12" x14ac:dyDescent="0.2">
      <c r="A34" t="s">
        <v>247</v>
      </c>
      <c r="B34">
        <v>55</v>
      </c>
      <c r="C34">
        <v>5</v>
      </c>
      <c r="D34">
        <v>3</v>
      </c>
      <c r="E34">
        <v>86</v>
      </c>
      <c r="F34">
        <v>154</v>
      </c>
      <c r="G34">
        <v>8</v>
      </c>
      <c r="H34">
        <f t="shared" si="0"/>
        <v>5.1948051948051951E-2</v>
      </c>
      <c r="I34">
        <v>0.18</v>
      </c>
      <c r="K34">
        <v>2</v>
      </c>
      <c r="L34">
        <v>50.1</v>
      </c>
    </row>
    <row r="35" spans="1:12" x14ac:dyDescent="0.2">
      <c r="A35" t="s">
        <v>248</v>
      </c>
      <c r="B35">
        <v>55</v>
      </c>
      <c r="C35">
        <v>7</v>
      </c>
      <c r="D35">
        <v>5</v>
      </c>
      <c r="E35">
        <v>61</v>
      </c>
      <c r="F35">
        <v>152</v>
      </c>
      <c r="G35">
        <v>6</v>
      </c>
      <c r="H35">
        <f t="shared" si="0"/>
        <v>3.9473684210526314E-2</v>
      </c>
      <c r="I35">
        <v>0.21</v>
      </c>
      <c r="K35">
        <v>2</v>
      </c>
      <c r="L35">
        <v>83.3</v>
      </c>
    </row>
    <row r="36" spans="1:12" x14ac:dyDescent="0.2">
      <c r="A36" t="s">
        <v>249</v>
      </c>
      <c r="B36">
        <v>49</v>
      </c>
      <c r="C36">
        <v>3</v>
      </c>
      <c r="D36">
        <v>2</v>
      </c>
      <c r="E36">
        <v>124</v>
      </c>
      <c r="F36">
        <v>199</v>
      </c>
      <c r="G36">
        <v>3</v>
      </c>
      <c r="H36">
        <f t="shared" si="0"/>
        <v>1.507537688442211E-2</v>
      </c>
      <c r="I36">
        <v>0.13</v>
      </c>
      <c r="K36">
        <v>12</v>
      </c>
      <c r="L36">
        <v>47.1</v>
      </c>
    </row>
    <row r="37" spans="1:12" x14ac:dyDescent="0.2">
      <c r="A37" t="s">
        <v>250</v>
      </c>
      <c r="B37">
        <v>54</v>
      </c>
      <c r="C37">
        <v>6</v>
      </c>
      <c r="D37">
        <v>3</v>
      </c>
      <c r="E37">
        <v>118</v>
      </c>
      <c r="F37">
        <v>209</v>
      </c>
      <c r="G37">
        <v>10</v>
      </c>
      <c r="H37">
        <f t="shared" si="0"/>
        <v>4.784688995215311E-2</v>
      </c>
      <c r="I37">
        <v>0.14000000000000001</v>
      </c>
      <c r="K37">
        <v>1</v>
      </c>
      <c r="L37">
        <v>98</v>
      </c>
    </row>
    <row r="38" spans="1:12" x14ac:dyDescent="0.2">
      <c r="A38" t="s">
        <v>251</v>
      </c>
      <c r="B38">
        <v>57</v>
      </c>
      <c r="C38">
        <v>5</v>
      </c>
      <c r="D38">
        <v>5</v>
      </c>
      <c r="E38">
        <v>74</v>
      </c>
      <c r="F38">
        <v>199</v>
      </c>
      <c r="G38" s="15">
        <v>16</v>
      </c>
      <c r="H38">
        <f t="shared" si="0"/>
        <v>8.0402010050251257E-2</v>
      </c>
      <c r="I38">
        <v>0.5</v>
      </c>
      <c r="K38">
        <v>4</v>
      </c>
      <c r="L38">
        <v>75.7</v>
      </c>
    </row>
    <row r="39" spans="1:12" x14ac:dyDescent="0.2">
      <c r="A39" t="s">
        <v>448</v>
      </c>
      <c r="B39">
        <v>51</v>
      </c>
      <c r="C39">
        <v>1</v>
      </c>
      <c r="D39">
        <v>2</v>
      </c>
      <c r="E39">
        <v>7</v>
      </c>
      <c r="F39">
        <v>14</v>
      </c>
      <c r="G39" t="s">
        <v>439</v>
      </c>
      <c r="H39">
        <v>0</v>
      </c>
      <c r="I39">
        <v>0.02</v>
      </c>
      <c r="K39" t="s">
        <v>439</v>
      </c>
      <c r="L39">
        <v>1.9</v>
      </c>
    </row>
    <row r="40" spans="1:12" x14ac:dyDescent="0.2">
      <c r="A40" t="s">
        <v>176</v>
      </c>
      <c r="B40">
        <v>27</v>
      </c>
      <c r="C40">
        <v>1</v>
      </c>
      <c r="D40">
        <v>1</v>
      </c>
      <c r="E40">
        <v>33</v>
      </c>
      <c r="F40">
        <v>44</v>
      </c>
      <c r="G40">
        <v>1</v>
      </c>
      <c r="H40">
        <f t="shared" si="0"/>
        <v>2.2727272727272728E-2</v>
      </c>
      <c r="I40">
        <v>0.02</v>
      </c>
      <c r="K40">
        <v>2</v>
      </c>
      <c r="L40">
        <v>0.8</v>
      </c>
    </row>
    <row r="41" spans="1:12" x14ac:dyDescent="0.2">
      <c r="A41" t="s">
        <v>252</v>
      </c>
      <c r="B41">
        <v>27</v>
      </c>
      <c r="C41">
        <v>1</v>
      </c>
      <c r="D41">
        <v>2</v>
      </c>
      <c r="E41">
        <v>31</v>
      </c>
      <c r="F41">
        <v>44</v>
      </c>
      <c r="G41">
        <v>1</v>
      </c>
      <c r="H41">
        <f t="shared" si="0"/>
        <v>2.2727272727272728E-2</v>
      </c>
      <c r="I41">
        <v>0.02</v>
      </c>
      <c r="K41">
        <v>1</v>
      </c>
      <c r="L41">
        <v>1.8</v>
      </c>
    </row>
    <row r="42" spans="1:12" x14ac:dyDescent="0.2">
      <c r="A42" t="s">
        <v>45</v>
      </c>
      <c r="B42">
        <v>27</v>
      </c>
      <c r="C42">
        <v>1</v>
      </c>
      <c r="D42">
        <v>1</v>
      </c>
      <c r="E42">
        <v>25</v>
      </c>
      <c r="F42">
        <v>35</v>
      </c>
      <c r="G42">
        <v>1</v>
      </c>
      <c r="H42">
        <f t="shared" si="0"/>
        <v>2.8571428571428571E-2</v>
      </c>
      <c r="I42">
        <v>0.02</v>
      </c>
      <c r="K42">
        <v>1</v>
      </c>
      <c r="L42">
        <v>0.5</v>
      </c>
    </row>
    <row r="43" spans="1:12" x14ac:dyDescent="0.2">
      <c r="A43" t="s">
        <v>177</v>
      </c>
      <c r="B43">
        <v>26</v>
      </c>
      <c r="C43">
        <v>1</v>
      </c>
      <c r="D43">
        <v>1</v>
      </c>
      <c r="E43">
        <v>32</v>
      </c>
      <c r="F43">
        <v>43</v>
      </c>
      <c r="G43">
        <v>1</v>
      </c>
      <c r="H43">
        <f t="shared" si="0"/>
        <v>2.3255813953488372E-2</v>
      </c>
      <c r="I43">
        <v>0.02</v>
      </c>
      <c r="K43">
        <v>2</v>
      </c>
      <c r="L43">
        <v>0.7</v>
      </c>
    </row>
    <row r="44" spans="1:12" x14ac:dyDescent="0.2">
      <c r="A44" t="s">
        <v>297</v>
      </c>
      <c r="B44">
        <v>26</v>
      </c>
      <c r="C44">
        <v>1</v>
      </c>
      <c r="D44">
        <v>1</v>
      </c>
      <c r="E44">
        <v>31</v>
      </c>
      <c r="F44">
        <v>46</v>
      </c>
      <c r="G44">
        <v>1</v>
      </c>
      <c r="H44">
        <f t="shared" si="0"/>
        <v>2.1739130434782608E-2</v>
      </c>
      <c r="I44">
        <v>0.01</v>
      </c>
      <c r="K44">
        <v>4</v>
      </c>
      <c r="L44">
        <v>1</v>
      </c>
    </row>
    <row r="45" spans="1:12" x14ac:dyDescent="0.2">
      <c r="A45" t="s">
        <v>449</v>
      </c>
      <c r="B45">
        <v>30</v>
      </c>
      <c r="C45">
        <v>1</v>
      </c>
      <c r="D45">
        <v>1</v>
      </c>
      <c r="E45">
        <v>5</v>
      </c>
      <c r="F45">
        <v>49</v>
      </c>
      <c r="G45" t="s">
        <v>439</v>
      </c>
      <c r="H45">
        <v>0</v>
      </c>
      <c r="I45">
        <v>0.02</v>
      </c>
      <c r="K45" t="s">
        <v>439</v>
      </c>
      <c r="L45">
        <v>4.2</v>
      </c>
    </row>
    <row r="46" spans="1:12" x14ac:dyDescent="0.2">
      <c r="A46" t="s">
        <v>179</v>
      </c>
      <c r="B46">
        <v>37</v>
      </c>
      <c r="C46">
        <v>1</v>
      </c>
      <c r="D46">
        <v>3</v>
      </c>
      <c r="E46">
        <v>63</v>
      </c>
      <c r="F46">
        <v>77</v>
      </c>
      <c r="G46">
        <v>1</v>
      </c>
      <c r="H46">
        <f t="shared" si="0"/>
        <v>1.2987012987012988E-2</v>
      </c>
      <c r="I46">
        <v>0.06</v>
      </c>
      <c r="K46">
        <v>1</v>
      </c>
      <c r="L46">
        <v>7.3</v>
      </c>
    </row>
    <row r="47" spans="1:12" x14ac:dyDescent="0.2">
      <c r="A47" t="s">
        <v>253</v>
      </c>
      <c r="B47">
        <v>38</v>
      </c>
      <c r="C47">
        <v>2</v>
      </c>
      <c r="D47">
        <v>1</v>
      </c>
      <c r="E47">
        <v>57</v>
      </c>
      <c r="F47">
        <v>86</v>
      </c>
      <c r="G47">
        <v>3</v>
      </c>
      <c r="H47">
        <f t="shared" si="0"/>
        <v>3.4883720930232558E-2</v>
      </c>
      <c r="I47">
        <v>0.06</v>
      </c>
      <c r="K47" t="s">
        <v>439</v>
      </c>
      <c r="L47">
        <v>0.2</v>
      </c>
    </row>
    <row r="48" spans="1:12" x14ac:dyDescent="0.2">
      <c r="A48" t="s">
        <v>190</v>
      </c>
      <c r="B48">
        <v>42</v>
      </c>
      <c r="C48">
        <v>1</v>
      </c>
      <c r="D48">
        <v>3</v>
      </c>
      <c r="E48">
        <v>63</v>
      </c>
      <c r="F48">
        <v>77</v>
      </c>
      <c r="G48">
        <v>1</v>
      </c>
      <c r="H48">
        <f t="shared" si="0"/>
        <v>1.2987012987012988E-2</v>
      </c>
      <c r="I48">
        <v>0.06</v>
      </c>
      <c r="K48">
        <v>1</v>
      </c>
      <c r="L48">
        <v>7.3</v>
      </c>
    </row>
    <row r="49" spans="1:12" x14ac:dyDescent="0.2">
      <c r="A49" t="s">
        <v>298</v>
      </c>
      <c r="B49">
        <v>42</v>
      </c>
      <c r="C49">
        <v>2</v>
      </c>
      <c r="D49">
        <v>1</v>
      </c>
      <c r="E49">
        <v>57</v>
      </c>
      <c r="F49">
        <v>82</v>
      </c>
      <c r="G49">
        <v>2</v>
      </c>
      <c r="H49">
        <f t="shared" si="0"/>
        <v>2.4390243902439025E-2</v>
      </c>
      <c r="I49">
        <v>0.04</v>
      </c>
      <c r="K49">
        <v>1</v>
      </c>
      <c r="L49">
        <v>7.8</v>
      </c>
    </row>
    <row r="50" spans="1:12" x14ac:dyDescent="0.2">
      <c r="A50" t="s">
        <v>192</v>
      </c>
      <c r="B50">
        <v>37</v>
      </c>
      <c r="C50">
        <v>5</v>
      </c>
      <c r="D50">
        <v>4</v>
      </c>
      <c r="E50">
        <v>59</v>
      </c>
      <c r="F50">
        <v>80</v>
      </c>
      <c r="G50">
        <v>1</v>
      </c>
      <c r="H50">
        <f t="shared" si="0"/>
        <v>1.2500000000000001E-2</v>
      </c>
      <c r="I50">
        <v>0.04</v>
      </c>
      <c r="K50">
        <v>1</v>
      </c>
      <c r="L50">
        <v>7.4</v>
      </c>
    </row>
    <row r="51" spans="1:12" x14ac:dyDescent="0.2">
      <c r="A51" t="s">
        <v>254</v>
      </c>
      <c r="B51">
        <v>37</v>
      </c>
      <c r="C51">
        <v>2</v>
      </c>
      <c r="D51">
        <v>1</v>
      </c>
      <c r="E51">
        <v>49</v>
      </c>
      <c r="F51">
        <v>75</v>
      </c>
      <c r="G51">
        <v>1</v>
      </c>
      <c r="H51">
        <f t="shared" si="0"/>
        <v>1.3333333333333334E-2</v>
      </c>
      <c r="I51">
        <v>0.06</v>
      </c>
      <c r="K51">
        <v>3</v>
      </c>
      <c r="L51">
        <v>14.9</v>
      </c>
    </row>
    <row r="52" spans="1:12" x14ac:dyDescent="0.2">
      <c r="A52" t="s">
        <v>255</v>
      </c>
      <c r="B52">
        <v>36</v>
      </c>
      <c r="C52">
        <v>2</v>
      </c>
      <c r="D52">
        <v>1</v>
      </c>
      <c r="E52">
        <v>67</v>
      </c>
      <c r="F52">
        <v>75</v>
      </c>
      <c r="G52" t="s">
        <v>439</v>
      </c>
      <c r="H52">
        <v>0</v>
      </c>
      <c r="I52">
        <v>0.03</v>
      </c>
      <c r="K52">
        <v>1</v>
      </c>
      <c r="L52">
        <v>13.2</v>
      </c>
    </row>
    <row r="53" spans="1:12" x14ac:dyDescent="0.2">
      <c r="A53" t="s">
        <v>70</v>
      </c>
      <c r="B53">
        <v>37</v>
      </c>
      <c r="C53">
        <v>1</v>
      </c>
      <c r="D53">
        <v>3</v>
      </c>
      <c r="E53">
        <v>67</v>
      </c>
      <c r="F53">
        <v>81</v>
      </c>
      <c r="G53">
        <v>1</v>
      </c>
      <c r="H53">
        <f t="shared" si="0"/>
        <v>1.2345679012345678E-2</v>
      </c>
      <c r="I53">
        <v>7.0000000000000007E-2</v>
      </c>
      <c r="K53">
        <v>1</v>
      </c>
      <c r="L53">
        <v>8.3000000000000007</v>
      </c>
    </row>
    <row r="54" spans="1:12" x14ac:dyDescent="0.2">
      <c r="A54" t="s">
        <v>256</v>
      </c>
      <c r="B54">
        <v>39</v>
      </c>
      <c r="C54">
        <v>1</v>
      </c>
      <c r="D54">
        <v>3</v>
      </c>
      <c r="E54">
        <v>80</v>
      </c>
      <c r="F54">
        <v>102</v>
      </c>
      <c r="G54">
        <v>1</v>
      </c>
      <c r="H54">
        <f t="shared" si="0"/>
        <v>9.8039215686274508E-3</v>
      </c>
      <c r="I54">
        <v>0.08</v>
      </c>
      <c r="K54">
        <v>1</v>
      </c>
      <c r="L54">
        <v>9.1999999999999993</v>
      </c>
    </row>
    <row r="55" spans="1:12" x14ac:dyDescent="0.2">
      <c r="A55" t="s">
        <v>194</v>
      </c>
      <c r="B55">
        <v>36</v>
      </c>
      <c r="C55">
        <v>1</v>
      </c>
      <c r="D55">
        <v>3</v>
      </c>
      <c r="E55">
        <v>94</v>
      </c>
      <c r="F55">
        <v>113</v>
      </c>
      <c r="G55">
        <v>1</v>
      </c>
      <c r="H55">
        <f t="shared" si="0"/>
        <v>8.8495575221238937E-3</v>
      </c>
      <c r="I55">
        <v>7.0000000000000007E-2</v>
      </c>
      <c r="K55">
        <v>3</v>
      </c>
      <c r="L55">
        <v>9.3000000000000007</v>
      </c>
    </row>
    <row r="56" spans="1:12" x14ac:dyDescent="0.2">
      <c r="A56" t="s">
        <v>258</v>
      </c>
      <c r="B56">
        <v>36</v>
      </c>
      <c r="C56">
        <v>1</v>
      </c>
      <c r="D56">
        <v>3</v>
      </c>
      <c r="E56">
        <v>59</v>
      </c>
      <c r="F56">
        <v>73</v>
      </c>
      <c r="G56">
        <v>1</v>
      </c>
      <c r="H56">
        <f t="shared" si="0"/>
        <v>1.3698630136986301E-2</v>
      </c>
      <c r="I56">
        <v>0.06</v>
      </c>
      <c r="K56">
        <v>1</v>
      </c>
      <c r="L56">
        <v>7.1</v>
      </c>
    </row>
    <row r="57" spans="1:12" x14ac:dyDescent="0.2">
      <c r="A57" t="s">
        <v>196</v>
      </c>
      <c r="B57">
        <v>36</v>
      </c>
      <c r="C57">
        <v>1</v>
      </c>
      <c r="D57">
        <v>3</v>
      </c>
      <c r="E57">
        <v>76</v>
      </c>
      <c r="F57">
        <v>96</v>
      </c>
      <c r="G57">
        <v>1</v>
      </c>
      <c r="H57">
        <f t="shared" si="0"/>
        <v>1.0416666666666666E-2</v>
      </c>
      <c r="I57">
        <v>0.08</v>
      </c>
      <c r="K57">
        <v>3</v>
      </c>
      <c r="L57">
        <v>9.8000000000000007</v>
      </c>
    </row>
    <row r="58" spans="1:12" x14ac:dyDescent="0.2">
      <c r="A58" t="s">
        <v>197</v>
      </c>
      <c r="B58">
        <v>38</v>
      </c>
      <c r="C58">
        <v>2</v>
      </c>
      <c r="D58">
        <v>1</v>
      </c>
      <c r="E58">
        <v>91</v>
      </c>
      <c r="F58">
        <v>100</v>
      </c>
      <c r="G58">
        <v>1</v>
      </c>
      <c r="H58">
        <f t="shared" si="0"/>
        <v>0.01</v>
      </c>
      <c r="I58">
        <v>0.05</v>
      </c>
      <c r="K58">
        <v>2</v>
      </c>
      <c r="L58">
        <v>10.8</v>
      </c>
    </row>
    <row r="59" spans="1:12" x14ac:dyDescent="0.2">
      <c r="A59" t="s">
        <v>181</v>
      </c>
      <c r="B59">
        <v>36</v>
      </c>
      <c r="C59">
        <v>1</v>
      </c>
      <c r="D59">
        <v>3</v>
      </c>
      <c r="E59">
        <v>68</v>
      </c>
      <c r="F59">
        <v>87</v>
      </c>
      <c r="G59">
        <v>1</v>
      </c>
      <c r="H59">
        <f t="shared" si="0"/>
        <v>1.1494252873563218E-2</v>
      </c>
      <c r="I59">
        <v>7.0000000000000007E-2</v>
      </c>
      <c r="K59">
        <v>3</v>
      </c>
      <c r="L59">
        <v>8.9</v>
      </c>
    </row>
    <row r="60" spans="1:12" x14ac:dyDescent="0.2">
      <c r="A60" t="s">
        <v>182</v>
      </c>
      <c r="B60">
        <v>36</v>
      </c>
      <c r="C60">
        <v>1</v>
      </c>
      <c r="D60">
        <v>3</v>
      </c>
      <c r="E60">
        <v>63</v>
      </c>
      <c r="F60">
        <v>77</v>
      </c>
      <c r="G60">
        <v>1</v>
      </c>
      <c r="H60">
        <f t="shared" si="0"/>
        <v>1.2987012987012988E-2</v>
      </c>
      <c r="I60">
        <v>0.05</v>
      </c>
      <c r="K60">
        <v>1</v>
      </c>
      <c r="L60">
        <v>7.3</v>
      </c>
    </row>
    <row r="61" spans="1:12" x14ac:dyDescent="0.2">
      <c r="A61" t="s">
        <v>183</v>
      </c>
      <c r="B61">
        <v>36</v>
      </c>
      <c r="C61">
        <v>2</v>
      </c>
      <c r="D61">
        <v>3</v>
      </c>
      <c r="E61">
        <v>51</v>
      </c>
      <c r="F61">
        <v>60</v>
      </c>
      <c r="G61">
        <v>1</v>
      </c>
      <c r="H61">
        <f t="shared" si="0"/>
        <v>1.6666666666666666E-2</v>
      </c>
      <c r="I61">
        <v>0.03</v>
      </c>
      <c r="K61">
        <v>1</v>
      </c>
      <c r="L61">
        <v>11.6</v>
      </c>
    </row>
    <row r="62" spans="1:12" x14ac:dyDescent="0.2">
      <c r="A62" t="s">
        <v>259</v>
      </c>
      <c r="B62">
        <v>37</v>
      </c>
      <c r="C62">
        <v>1</v>
      </c>
      <c r="D62">
        <v>3</v>
      </c>
      <c r="E62">
        <v>71</v>
      </c>
      <c r="F62">
        <v>85</v>
      </c>
      <c r="G62">
        <v>1</v>
      </c>
      <c r="H62">
        <f t="shared" si="0"/>
        <v>1.1764705882352941E-2</v>
      </c>
      <c r="I62">
        <v>0.05</v>
      </c>
      <c r="K62">
        <v>1</v>
      </c>
      <c r="L62">
        <v>7.3</v>
      </c>
    </row>
    <row r="63" spans="1:12" x14ac:dyDescent="0.2">
      <c r="A63" t="s">
        <v>185</v>
      </c>
      <c r="B63">
        <v>40</v>
      </c>
      <c r="C63">
        <v>1</v>
      </c>
      <c r="D63">
        <v>3</v>
      </c>
      <c r="E63">
        <v>107</v>
      </c>
      <c r="F63">
        <v>126</v>
      </c>
      <c r="G63">
        <v>1</v>
      </c>
      <c r="H63">
        <f t="shared" si="0"/>
        <v>7.9365079365079361E-3</v>
      </c>
      <c r="I63">
        <v>7.0000000000000007E-2</v>
      </c>
      <c r="K63">
        <v>3</v>
      </c>
      <c r="L63">
        <v>13.6</v>
      </c>
    </row>
    <row r="64" spans="1:12" x14ac:dyDescent="0.2">
      <c r="A64" t="s">
        <v>186</v>
      </c>
      <c r="B64">
        <v>36</v>
      </c>
      <c r="C64">
        <v>1</v>
      </c>
      <c r="D64">
        <v>3</v>
      </c>
      <c r="E64">
        <v>68</v>
      </c>
      <c r="F64">
        <v>82</v>
      </c>
      <c r="G64">
        <v>1</v>
      </c>
      <c r="H64">
        <f t="shared" si="0"/>
        <v>1.2195121951219513E-2</v>
      </c>
      <c r="I64">
        <v>0.05</v>
      </c>
      <c r="K64">
        <v>1</v>
      </c>
      <c r="L64">
        <v>7.4</v>
      </c>
    </row>
    <row r="65" spans="1:12" x14ac:dyDescent="0.2">
      <c r="A65" t="s">
        <v>261</v>
      </c>
      <c r="B65">
        <v>36</v>
      </c>
      <c r="C65">
        <v>1</v>
      </c>
      <c r="D65">
        <v>3</v>
      </c>
      <c r="E65">
        <v>63</v>
      </c>
      <c r="F65">
        <v>77</v>
      </c>
      <c r="G65">
        <v>1</v>
      </c>
      <c r="H65">
        <f t="shared" si="0"/>
        <v>1.2987012987012988E-2</v>
      </c>
      <c r="I65">
        <v>0.05</v>
      </c>
      <c r="K65">
        <v>1</v>
      </c>
      <c r="L65">
        <v>7.3</v>
      </c>
    </row>
    <row r="66" spans="1:12" x14ac:dyDescent="0.2">
      <c r="A66" t="s">
        <v>262</v>
      </c>
      <c r="B66">
        <v>36</v>
      </c>
      <c r="C66">
        <v>2</v>
      </c>
      <c r="D66">
        <v>1</v>
      </c>
      <c r="E66">
        <v>57</v>
      </c>
      <c r="F66">
        <v>82</v>
      </c>
      <c r="G66">
        <v>2</v>
      </c>
      <c r="H66">
        <f t="shared" si="0"/>
        <v>2.4390243902439025E-2</v>
      </c>
      <c r="I66">
        <v>0.03</v>
      </c>
      <c r="K66">
        <v>1</v>
      </c>
      <c r="L66">
        <v>7.8</v>
      </c>
    </row>
    <row r="67" spans="1:12" x14ac:dyDescent="0.2">
      <c r="A67" t="s">
        <v>188</v>
      </c>
      <c r="B67">
        <v>36</v>
      </c>
      <c r="C67">
        <v>3</v>
      </c>
      <c r="D67">
        <v>2</v>
      </c>
      <c r="E67">
        <v>84</v>
      </c>
      <c r="F67">
        <v>102</v>
      </c>
      <c r="G67">
        <v>1</v>
      </c>
      <c r="H67">
        <f t="shared" ref="H67:H130" si="1">G67/F67</f>
        <v>9.8039215686274508E-3</v>
      </c>
      <c r="I67">
        <v>0.03</v>
      </c>
      <c r="K67">
        <v>3</v>
      </c>
      <c r="L67">
        <v>14.2</v>
      </c>
    </row>
    <row r="68" spans="1:12" x14ac:dyDescent="0.2">
      <c r="A68" t="s">
        <v>263</v>
      </c>
      <c r="B68">
        <v>36</v>
      </c>
      <c r="C68">
        <v>2</v>
      </c>
      <c r="D68">
        <v>3</v>
      </c>
      <c r="E68">
        <v>67</v>
      </c>
      <c r="F68">
        <v>101</v>
      </c>
      <c r="G68">
        <v>1</v>
      </c>
      <c r="H68">
        <f t="shared" si="1"/>
        <v>9.9009900990099011E-3</v>
      </c>
      <c r="I68">
        <v>0.09</v>
      </c>
      <c r="K68">
        <v>3</v>
      </c>
      <c r="L68">
        <v>103.8</v>
      </c>
    </row>
    <row r="69" spans="1:12" x14ac:dyDescent="0.2">
      <c r="A69" t="s">
        <v>264</v>
      </c>
      <c r="B69">
        <v>36</v>
      </c>
      <c r="C69">
        <v>1</v>
      </c>
      <c r="D69">
        <v>3</v>
      </c>
      <c r="E69">
        <v>71</v>
      </c>
      <c r="F69">
        <v>107</v>
      </c>
      <c r="G69">
        <v>3</v>
      </c>
      <c r="H69">
        <f t="shared" si="1"/>
        <v>2.8037383177570093E-2</v>
      </c>
      <c r="I69">
        <v>0.55000000000000004</v>
      </c>
      <c r="K69">
        <v>1</v>
      </c>
      <c r="L69">
        <v>44.2</v>
      </c>
    </row>
    <row r="70" spans="1:12" x14ac:dyDescent="0.2">
      <c r="A70" t="s">
        <v>265</v>
      </c>
      <c r="B70">
        <v>36</v>
      </c>
      <c r="C70">
        <v>2</v>
      </c>
      <c r="D70">
        <v>1</v>
      </c>
      <c r="E70">
        <v>78</v>
      </c>
      <c r="F70">
        <v>103</v>
      </c>
      <c r="G70">
        <v>2</v>
      </c>
      <c r="H70">
        <f t="shared" si="1"/>
        <v>1.9417475728155338E-2</v>
      </c>
      <c r="I70">
        <v>0.04</v>
      </c>
      <c r="K70">
        <v>1</v>
      </c>
      <c r="L70">
        <v>29.5</v>
      </c>
    </row>
    <row r="71" spans="1:12" x14ac:dyDescent="0.2">
      <c r="A71" t="s">
        <v>189</v>
      </c>
      <c r="B71">
        <v>36</v>
      </c>
      <c r="C71">
        <v>1</v>
      </c>
      <c r="D71">
        <v>3</v>
      </c>
      <c r="E71">
        <v>63</v>
      </c>
      <c r="F71">
        <v>83</v>
      </c>
      <c r="G71">
        <v>2</v>
      </c>
      <c r="H71">
        <f t="shared" si="1"/>
        <v>2.4096385542168676E-2</v>
      </c>
      <c r="I71">
        <v>0.1</v>
      </c>
      <c r="K71">
        <v>1</v>
      </c>
      <c r="L71">
        <v>7.7</v>
      </c>
    </row>
    <row r="72" spans="1:12" x14ac:dyDescent="0.2">
      <c r="A72" t="s">
        <v>191</v>
      </c>
      <c r="B72">
        <v>36</v>
      </c>
      <c r="C72">
        <v>4</v>
      </c>
      <c r="D72">
        <v>4</v>
      </c>
      <c r="E72">
        <v>64</v>
      </c>
      <c r="F72">
        <v>90</v>
      </c>
      <c r="G72">
        <v>1</v>
      </c>
      <c r="H72">
        <f t="shared" si="1"/>
        <v>1.1111111111111112E-2</v>
      </c>
      <c r="I72">
        <v>0.03</v>
      </c>
      <c r="K72">
        <v>4</v>
      </c>
      <c r="L72">
        <v>8.3000000000000007</v>
      </c>
    </row>
    <row r="73" spans="1:12" x14ac:dyDescent="0.2">
      <c r="A73" t="s">
        <v>266</v>
      </c>
      <c r="B73">
        <v>36</v>
      </c>
      <c r="C73">
        <v>1</v>
      </c>
      <c r="D73">
        <v>3</v>
      </c>
      <c r="E73">
        <v>68</v>
      </c>
      <c r="F73">
        <v>88</v>
      </c>
      <c r="G73">
        <v>2</v>
      </c>
      <c r="H73">
        <f t="shared" si="1"/>
        <v>2.2727272727272728E-2</v>
      </c>
      <c r="I73">
        <v>0.09</v>
      </c>
      <c r="K73">
        <v>1</v>
      </c>
      <c r="L73">
        <v>8.3000000000000007</v>
      </c>
    </row>
    <row r="74" spans="1:12" x14ac:dyDescent="0.2">
      <c r="A74" t="s">
        <v>267</v>
      </c>
      <c r="B74">
        <v>36</v>
      </c>
      <c r="C74">
        <v>2</v>
      </c>
      <c r="D74">
        <v>1</v>
      </c>
      <c r="E74">
        <v>47</v>
      </c>
      <c r="F74">
        <v>88</v>
      </c>
      <c r="G74">
        <v>2</v>
      </c>
      <c r="H74">
        <f t="shared" si="1"/>
        <v>2.2727272727272728E-2</v>
      </c>
      <c r="I74">
        <v>0.03</v>
      </c>
      <c r="K74">
        <v>1</v>
      </c>
      <c r="L74">
        <v>7.6</v>
      </c>
    </row>
    <row r="75" spans="1:12" x14ac:dyDescent="0.2">
      <c r="A75" t="s">
        <v>268</v>
      </c>
      <c r="B75">
        <v>30</v>
      </c>
      <c r="C75">
        <v>2</v>
      </c>
      <c r="D75">
        <v>1</v>
      </c>
      <c r="E75">
        <v>19</v>
      </c>
      <c r="F75">
        <v>90</v>
      </c>
      <c r="G75">
        <v>1</v>
      </c>
      <c r="H75">
        <f t="shared" si="1"/>
        <v>1.1111111111111112E-2</v>
      </c>
      <c r="I75">
        <v>0.04</v>
      </c>
      <c r="K75">
        <v>1</v>
      </c>
      <c r="L75">
        <v>2.9</v>
      </c>
    </row>
    <row r="76" spans="1:12" x14ac:dyDescent="0.2">
      <c r="A76" t="s">
        <v>76</v>
      </c>
      <c r="B76">
        <v>29</v>
      </c>
      <c r="C76">
        <v>2</v>
      </c>
      <c r="D76">
        <v>1</v>
      </c>
      <c r="E76">
        <v>14</v>
      </c>
      <c r="F76">
        <v>70</v>
      </c>
      <c r="G76">
        <v>4</v>
      </c>
      <c r="H76">
        <f t="shared" si="1"/>
        <v>5.7142857142857141E-2</v>
      </c>
      <c r="I76">
        <v>0.04</v>
      </c>
      <c r="K76">
        <v>1</v>
      </c>
      <c r="L76">
        <v>2.8</v>
      </c>
    </row>
    <row r="77" spans="1:12" x14ac:dyDescent="0.2">
      <c r="A77" t="s">
        <v>200</v>
      </c>
      <c r="B77">
        <v>31</v>
      </c>
      <c r="C77">
        <v>2</v>
      </c>
      <c r="D77">
        <v>3</v>
      </c>
      <c r="E77">
        <v>39</v>
      </c>
      <c r="F77">
        <v>141</v>
      </c>
      <c r="G77">
        <v>3</v>
      </c>
      <c r="H77">
        <f t="shared" si="1"/>
        <v>2.1276595744680851E-2</v>
      </c>
      <c r="I77">
        <v>0.02</v>
      </c>
      <c r="K77">
        <v>3</v>
      </c>
      <c r="L77">
        <v>4.7</v>
      </c>
    </row>
    <row r="78" spans="1:12" x14ac:dyDescent="0.2">
      <c r="A78" t="s">
        <v>271</v>
      </c>
      <c r="B78">
        <v>29</v>
      </c>
      <c r="C78">
        <v>2</v>
      </c>
      <c r="D78">
        <v>2</v>
      </c>
      <c r="E78">
        <v>17</v>
      </c>
      <c r="F78">
        <v>69</v>
      </c>
      <c r="G78">
        <v>3</v>
      </c>
      <c r="H78">
        <f t="shared" si="1"/>
        <v>4.3478260869565216E-2</v>
      </c>
      <c r="I78">
        <v>0.02</v>
      </c>
      <c r="K78">
        <v>9</v>
      </c>
      <c r="L78">
        <v>2.1</v>
      </c>
    </row>
    <row r="79" spans="1:12" x14ac:dyDescent="0.2">
      <c r="A79" t="s">
        <v>202</v>
      </c>
      <c r="B79">
        <v>29</v>
      </c>
      <c r="C79">
        <v>2</v>
      </c>
      <c r="D79">
        <v>2</v>
      </c>
      <c r="E79">
        <v>17</v>
      </c>
      <c r="F79">
        <v>98</v>
      </c>
      <c r="G79">
        <v>2</v>
      </c>
      <c r="H79">
        <f t="shared" si="1"/>
        <v>2.0408163265306121E-2</v>
      </c>
      <c r="I79">
        <v>0.03</v>
      </c>
      <c r="K79">
        <v>16</v>
      </c>
      <c r="L79">
        <v>3</v>
      </c>
    </row>
    <row r="80" spans="1:12" x14ac:dyDescent="0.2">
      <c r="A80" t="s">
        <v>203</v>
      </c>
      <c r="B80">
        <v>29</v>
      </c>
      <c r="C80">
        <v>2</v>
      </c>
      <c r="D80">
        <v>2</v>
      </c>
      <c r="E80">
        <v>14</v>
      </c>
      <c r="F80">
        <v>64</v>
      </c>
      <c r="G80">
        <v>6</v>
      </c>
      <c r="H80">
        <f t="shared" si="1"/>
        <v>9.375E-2</v>
      </c>
      <c r="I80">
        <v>0.06</v>
      </c>
      <c r="K80">
        <v>13</v>
      </c>
      <c r="L80">
        <v>2.6</v>
      </c>
    </row>
    <row r="81" spans="1:12" x14ac:dyDescent="0.2">
      <c r="A81" t="s">
        <v>272</v>
      </c>
      <c r="B81">
        <v>29</v>
      </c>
      <c r="C81">
        <v>2</v>
      </c>
      <c r="D81">
        <v>2</v>
      </c>
      <c r="E81">
        <v>14</v>
      </c>
      <c r="F81">
        <v>59</v>
      </c>
      <c r="G81">
        <v>1</v>
      </c>
      <c r="H81">
        <f t="shared" si="1"/>
        <v>1.6949152542372881E-2</v>
      </c>
      <c r="I81">
        <v>0.03</v>
      </c>
      <c r="K81">
        <v>9</v>
      </c>
      <c r="L81">
        <v>2.6</v>
      </c>
    </row>
    <row r="82" spans="1:12" x14ac:dyDescent="0.2">
      <c r="A82" t="s">
        <v>204</v>
      </c>
      <c r="B82">
        <v>29</v>
      </c>
      <c r="C82">
        <v>3</v>
      </c>
      <c r="D82">
        <v>1</v>
      </c>
      <c r="E82">
        <v>14</v>
      </c>
      <c r="F82">
        <v>71</v>
      </c>
      <c r="G82">
        <v>4</v>
      </c>
      <c r="H82">
        <f t="shared" si="1"/>
        <v>5.6338028169014086E-2</v>
      </c>
      <c r="I82">
        <v>0.05</v>
      </c>
      <c r="K82">
        <v>14</v>
      </c>
      <c r="L82">
        <v>2.7</v>
      </c>
    </row>
    <row r="83" spans="1:12" x14ac:dyDescent="0.2">
      <c r="A83" t="s">
        <v>273</v>
      </c>
      <c r="B83">
        <v>29</v>
      </c>
      <c r="C83">
        <v>2</v>
      </c>
      <c r="D83">
        <v>1</v>
      </c>
      <c r="E83">
        <v>18</v>
      </c>
      <c r="F83">
        <v>91</v>
      </c>
      <c r="G83">
        <v>5</v>
      </c>
      <c r="H83">
        <f t="shared" si="1"/>
        <v>5.4945054945054944E-2</v>
      </c>
      <c r="I83">
        <v>0.05</v>
      </c>
      <c r="K83">
        <v>1</v>
      </c>
      <c r="L83">
        <v>3.1</v>
      </c>
    </row>
    <row r="84" spans="1:12" x14ac:dyDescent="0.2">
      <c r="A84" t="s">
        <v>274</v>
      </c>
      <c r="B84">
        <v>29</v>
      </c>
      <c r="C84">
        <v>2</v>
      </c>
      <c r="D84">
        <v>2</v>
      </c>
      <c r="E84">
        <v>18</v>
      </c>
      <c r="F84">
        <v>90</v>
      </c>
      <c r="G84">
        <v>2</v>
      </c>
      <c r="H84">
        <f t="shared" si="1"/>
        <v>2.2222222222222223E-2</v>
      </c>
      <c r="I84">
        <v>0.06</v>
      </c>
      <c r="K84">
        <v>1</v>
      </c>
      <c r="L84">
        <v>2.9</v>
      </c>
    </row>
    <row r="85" spans="1:12" x14ac:dyDescent="0.2">
      <c r="A85" t="s">
        <v>276</v>
      </c>
      <c r="B85">
        <v>30</v>
      </c>
      <c r="C85">
        <v>0</v>
      </c>
      <c r="D85">
        <v>0</v>
      </c>
      <c r="E85">
        <v>78</v>
      </c>
      <c r="F85">
        <v>91</v>
      </c>
      <c r="G85">
        <v>1</v>
      </c>
      <c r="H85">
        <f t="shared" si="1"/>
        <v>1.098901098901099E-2</v>
      </c>
      <c r="I85">
        <v>0.06</v>
      </c>
      <c r="K85">
        <v>1</v>
      </c>
      <c r="L85">
        <v>1.5</v>
      </c>
    </row>
    <row r="86" spans="1:12" x14ac:dyDescent="0.2">
      <c r="A86" t="s">
        <v>450</v>
      </c>
      <c r="B86">
        <v>33</v>
      </c>
      <c r="C86">
        <v>2</v>
      </c>
      <c r="D86">
        <v>3</v>
      </c>
      <c r="E86">
        <v>7</v>
      </c>
      <c r="F86">
        <v>22</v>
      </c>
      <c r="G86">
        <v>1</v>
      </c>
      <c r="H86">
        <f t="shared" si="1"/>
        <v>4.5454545454545456E-2</v>
      </c>
      <c r="I86">
        <v>0.04</v>
      </c>
      <c r="K86">
        <v>1</v>
      </c>
      <c r="L86">
        <v>4.0999999999999996</v>
      </c>
    </row>
    <row r="87" spans="1:12" x14ac:dyDescent="0.2">
      <c r="A87" t="s">
        <v>451</v>
      </c>
      <c r="B87">
        <v>34</v>
      </c>
      <c r="C87">
        <v>1</v>
      </c>
      <c r="D87">
        <v>2</v>
      </c>
      <c r="E87">
        <v>19</v>
      </c>
      <c r="F87">
        <v>26</v>
      </c>
      <c r="G87" t="s">
        <v>439</v>
      </c>
      <c r="H87">
        <v>0</v>
      </c>
      <c r="I87">
        <v>0.01</v>
      </c>
      <c r="K87">
        <v>11</v>
      </c>
      <c r="L87">
        <v>1.4</v>
      </c>
    </row>
    <row r="88" spans="1:12" x14ac:dyDescent="0.2">
      <c r="A88" t="s">
        <v>208</v>
      </c>
      <c r="B88">
        <v>40</v>
      </c>
      <c r="C88">
        <v>2</v>
      </c>
      <c r="D88">
        <v>2</v>
      </c>
      <c r="E88">
        <v>126</v>
      </c>
      <c r="F88">
        <v>168</v>
      </c>
      <c r="G88">
        <v>1</v>
      </c>
      <c r="H88">
        <f t="shared" si="1"/>
        <v>5.9523809523809521E-3</v>
      </c>
      <c r="I88">
        <v>0.08</v>
      </c>
      <c r="K88">
        <v>3</v>
      </c>
      <c r="L88">
        <v>25.7</v>
      </c>
    </row>
    <row r="89" spans="1:12" x14ac:dyDescent="0.2">
      <c r="A89" t="s">
        <v>219</v>
      </c>
      <c r="B89">
        <v>40</v>
      </c>
      <c r="C89">
        <v>1</v>
      </c>
      <c r="D89">
        <v>2</v>
      </c>
      <c r="E89">
        <v>122</v>
      </c>
      <c r="F89">
        <v>150</v>
      </c>
      <c r="G89">
        <v>1</v>
      </c>
      <c r="H89">
        <f t="shared" si="1"/>
        <v>6.6666666666666671E-3</v>
      </c>
      <c r="I89">
        <v>0.06</v>
      </c>
      <c r="K89">
        <v>3</v>
      </c>
      <c r="L89">
        <v>26.5</v>
      </c>
    </row>
    <row r="90" spans="1:12" x14ac:dyDescent="0.2">
      <c r="A90" t="s">
        <v>277</v>
      </c>
      <c r="B90">
        <v>44</v>
      </c>
      <c r="C90">
        <v>2</v>
      </c>
      <c r="D90">
        <v>2</v>
      </c>
      <c r="E90">
        <v>72</v>
      </c>
      <c r="F90">
        <v>156</v>
      </c>
      <c r="G90">
        <v>3</v>
      </c>
      <c r="H90">
        <f t="shared" si="1"/>
        <v>1.9230769230769232E-2</v>
      </c>
      <c r="I90">
        <v>0.14000000000000001</v>
      </c>
      <c r="K90">
        <v>2</v>
      </c>
      <c r="L90">
        <v>46.9</v>
      </c>
    </row>
    <row r="91" spans="1:12" x14ac:dyDescent="0.2">
      <c r="A91" t="s">
        <v>220</v>
      </c>
      <c r="B91">
        <v>45</v>
      </c>
      <c r="C91">
        <v>1</v>
      </c>
      <c r="D91">
        <v>1</v>
      </c>
      <c r="E91">
        <v>135</v>
      </c>
      <c r="F91">
        <v>188</v>
      </c>
      <c r="G91">
        <v>1</v>
      </c>
      <c r="H91">
        <f t="shared" si="1"/>
        <v>5.3191489361702126E-3</v>
      </c>
      <c r="I91">
        <v>0.04</v>
      </c>
      <c r="K91">
        <v>1</v>
      </c>
      <c r="L91">
        <v>81.099999999999994</v>
      </c>
    </row>
    <row r="92" spans="1:12" x14ac:dyDescent="0.2">
      <c r="A92" t="s">
        <v>278</v>
      </c>
      <c r="B92">
        <v>44</v>
      </c>
      <c r="C92">
        <v>3</v>
      </c>
      <c r="D92">
        <v>2</v>
      </c>
      <c r="E92">
        <v>121</v>
      </c>
      <c r="F92">
        <v>184</v>
      </c>
      <c r="G92">
        <v>1</v>
      </c>
      <c r="H92">
        <f t="shared" si="1"/>
        <v>5.434782608695652E-3</v>
      </c>
      <c r="I92">
        <v>0.23</v>
      </c>
      <c r="K92">
        <v>1</v>
      </c>
      <c r="L92">
        <v>65.400000000000006</v>
      </c>
    </row>
    <row r="93" spans="1:12" x14ac:dyDescent="0.2">
      <c r="A93" t="s">
        <v>221</v>
      </c>
      <c r="B93">
        <v>40</v>
      </c>
      <c r="C93">
        <v>1</v>
      </c>
      <c r="D93">
        <v>2</v>
      </c>
      <c r="E93">
        <v>118</v>
      </c>
      <c r="F93">
        <v>146</v>
      </c>
      <c r="G93">
        <v>1</v>
      </c>
      <c r="H93">
        <f t="shared" si="1"/>
        <v>6.8493150684931503E-3</v>
      </c>
      <c r="I93">
        <v>0.05</v>
      </c>
      <c r="K93">
        <v>3</v>
      </c>
      <c r="L93">
        <v>25.8</v>
      </c>
    </row>
    <row r="94" spans="1:12" x14ac:dyDescent="0.2">
      <c r="A94" t="s">
        <v>222</v>
      </c>
      <c r="B94">
        <v>42</v>
      </c>
      <c r="C94">
        <v>1</v>
      </c>
      <c r="D94">
        <v>2</v>
      </c>
      <c r="E94">
        <v>160</v>
      </c>
      <c r="F94">
        <v>188</v>
      </c>
      <c r="G94">
        <v>1</v>
      </c>
      <c r="H94">
        <f t="shared" si="1"/>
        <v>5.3191489361702126E-3</v>
      </c>
      <c r="I94">
        <v>0.56000000000000005</v>
      </c>
      <c r="K94">
        <v>3</v>
      </c>
      <c r="L94">
        <v>26.5</v>
      </c>
    </row>
    <row r="95" spans="1:12" x14ac:dyDescent="0.2">
      <c r="A95" t="s">
        <v>223</v>
      </c>
      <c r="B95">
        <v>42</v>
      </c>
      <c r="C95">
        <v>0</v>
      </c>
      <c r="D95">
        <v>0</v>
      </c>
      <c r="E95">
        <v>148</v>
      </c>
      <c r="F95">
        <v>157</v>
      </c>
      <c r="G95">
        <v>1</v>
      </c>
      <c r="H95">
        <f t="shared" si="1"/>
        <v>6.369426751592357E-3</v>
      </c>
      <c r="I95">
        <v>0.66</v>
      </c>
      <c r="K95">
        <v>1</v>
      </c>
      <c r="L95">
        <v>30.2</v>
      </c>
    </row>
    <row r="96" spans="1:12" x14ac:dyDescent="0.2">
      <c r="A96" t="s">
        <v>279</v>
      </c>
      <c r="B96">
        <v>42</v>
      </c>
      <c r="C96">
        <v>0</v>
      </c>
      <c r="D96">
        <v>0</v>
      </c>
      <c r="E96">
        <v>148</v>
      </c>
      <c r="F96">
        <v>157</v>
      </c>
      <c r="G96">
        <v>1</v>
      </c>
      <c r="H96">
        <f t="shared" si="1"/>
        <v>6.369426751592357E-3</v>
      </c>
      <c r="I96">
        <v>0.52</v>
      </c>
      <c r="K96">
        <v>1</v>
      </c>
      <c r="L96">
        <v>31.7</v>
      </c>
    </row>
    <row r="97" spans="1:12" x14ac:dyDescent="0.2">
      <c r="A97" t="s">
        <v>280</v>
      </c>
      <c r="B97">
        <v>41</v>
      </c>
      <c r="C97">
        <v>2</v>
      </c>
      <c r="D97">
        <v>1</v>
      </c>
      <c r="E97">
        <v>119</v>
      </c>
      <c r="F97">
        <v>152</v>
      </c>
      <c r="G97">
        <v>1</v>
      </c>
      <c r="H97">
        <f t="shared" si="1"/>
        <v>6.5789473684210523E-3</v>
      </c>
      <c r="I97">
        <v>0.05</v>
      </c>
      <c r="K97">
        <v>1</v>
      </c>
      <c r="L97">
        <v>29.1</v>
      </c>
    </row>
    <row r="98" spans="1:12" x14ac:dyDescent="0.2">
      <c r="A98" t="s">
        <v>281</v>
      </c>
      <c r="B98">
        <v>42</v>
      </c>
      <c r="C98">
        <v>2</v>
      </c>
      <c r="D98">
        <v>1</v>
      </c>
      <c r="E98">
        <v>107</v>
      </c>
      <c r="F98">
        <v>152</v>
      </c>
      <c r="G98">
        <v>1</v>
      </c>
      <c r="H98">
        <f t="shared" si="1"/>
        <v>6.5789473684210523E-3</v>
      </c>
      <c r="I98">
        <v>7.0000000000000007E-2</v>
      </c>
      <c r="K98">
        <v>3</v>
      </c>
      <c r="L98">
        <v>31.2</v>
      </c>
    </row>
    <row r="99" spans="1:12" x14ac:dyDescent="0.2">
      <c r="A99" t="s">
        <v>224</v>
      </c>
      <c r="B99">
        <v>41</v>
      </c>
      <c r="C99">
        <v>2</v>
      </c>
      <c r="D99">
        <v>1</v>
      </c>
      <c r="E99">
        <v>95</v>
      </c>
      <c r="F99">
        <v>136</v>
      </c>
      <c r="G99">
        <v>1</v>
      </c>
      <c r="H99">
        <f t="shared" si="1"/>
        <v>7.3529411764705881E-3</v>
      </c>
      <c r="I99">
        <v>0.05</v>
      </c>
      <c r="K99">
        <v>1</v>
      </c>
      <c r="L99">
        <v>58.7</v>
      </c>
    </row>
    <row r="100" spans="1:12" x14ac:dyDescent="0.2">
      <c r="A100" t="s">
        <v>282</v>
      </c>
      <c r="B100">
        <v>40</v>
      </c>
      <c r="C100">
        <v>1</v>
      </c>
      <c r="D100">
        <v>1</v>
      </c>
      <c r="E100">
        <v>110</v>
      </c>
      <c r="F100">
        <v>135</v>
      </c>
      <c r="G100">
        <v>1</v>
      </c>
      <c r="H100">
        <f t="shared" si="1"/>
        <v>7.4074074074074077E-3</v>
      </c>
      <c r="I100">
        <v>0.08</v>
      </c>
      <c r="K100">
        <v>1</v>
      </c>
      <c r="L100">
        <v>34.1</v>
      </c>
    </row>
    <row r="101" spans="1:12" x14ac:dyDescent="0.2">
      <c r="A101" t="s">
        <v>225</v>
      </c>
      <c r="B101">
        <v>43</v>
      </c>
      <c r="C101">
        <v>1</v>
      </c>
      <c r="D101">
        <v>1</v>
      </c>
      <c r="E101">
        <v>119</v>
      </c>
      <c r="F101">
        <v>166</v>
      </c>
      <c r="G101">
        <v>1</v>
      </c>
      <c r="H101">
        <f t="shared" si="1"/>
        <v>6.024096385542169E-3</v>
      </c>
      <c r="I101">
        <v>0.08</v>
      </c>
      <c r="K101">
        <v>1</v>
      </c>
      <c r="L101">
        <v>35</v>
      </c>
    </row>
    <row r="102" spans="1:12" x14ac:dyDescent="0.2">
      <c r="A102" t="s">
        <v>226</v>
      </c>
      <c r="B102">
        <v>44</v>
      </c>
      <c r="C102">
        <v>2</v>
      </c>
      <c r="D102">
        <v>2</v>
      </c>
      <c r="E102">
        <v>72</v>
      </c>
      <c r="F102">
        <v>153</v>
      </c>
      <c r="G102" s="15">
        <v>13</v>
      </c>
      <c r="H102">
        <f t="shared" si="1"/>
        <v>8.4967320261437912E-2</v>
      </c>
      <c r="I102">
        <v>0.12</v>
      </c>
      <c r="K102">
        <v>1</v>
      </c>
      <c r="L102">
        <v>47.4</v>
      </c>
    </row>
    <row r="103" spans="1:12" x14ac:dyDescent="0.2">
      <c r="A103" t="s">
        <v>209</v>
      </c>
      <c r="B103">
        <v>43</v>
      </c>
      <c r="C103">
        <v>2</v>
      </c>
      <c r="D103">
        <v>1</v>
      </c>
      <c r="E103">
        <v>110</v>
      </c>
      <c r="F103">
        <v>155</v>
      </c>
      <c r="G103">
        <v>1</v>
      </c>
      <c r="H103">
        <f t="shared" si="1"/>
        <v>6.4516129032258064E-3</v>
      </c>
      <c r="I103">
        <v>0.08</v>
      </c>
      <c r="K103">
        <v>3</v>
      </c>
      <c r="L103">
        <v>31.2</v>
      </c>
    </row>
    <row r="104" spans="1:12" x14ac:dyDescent="0.2">
      <c r="A104" t="s">
        <v>210</v>
      </c>
      <c r="B104">
        <v>42</v>
      </c>
      <c r="C104">
        <v>2</v>
      </c>
      <c r="D104">
        <v>1</v>
      </c>
      <c r="E104">
        <v>127</v>
      </c>
      <c r="F104">
        <v>177</v>
      </c>
      <c r="G104">
        <v>2</v>
      </c>
      <c r="H104">
        <f t="shared" si="1"/>
        <v>1.1299435028248588E-2</v>
      </c>
      <c r="I104">
        <v>0.09</v>
      </c>
      <c r="K104">
        <v>4</v>
      </c>
      <c r="L104">
        <v>33.5</v>
      </c>
    </row>
    <row r="105" spans="1:12" x14ac:dyDescent="0.2">
      <c r="A105" t="s">
        <v>211</v>
      </c>
      <c r="B105">
        <v>40</v>
      </c>
      <c r="C105">
        <v>2</v>
      </c>
      <c r="D105">
        <v>2</v>
      </c>
      <c r="E105">
        <v>114</v>
      </c>
      <c r="F105">
        <v>157</v>
      </c>
      <c r="G105">
        <v>1</v>
      </c>
      <c r="H105">
        <f t="shared" si="1"/>
        <v>6.369426751592357E-3</v>
      </c>
      <c r="I105">
        <v>0.09</v>
      </c>
      <c r="K105">
        <v>3</v>
      </c>
      <c r="L105">
        <v>70.2</v>
      </c>
    </row>
    <row r="106" spans="1:12" x14ac:dyDescent="0.2">
      <c r="A106" t="s">
        <v>283</v>
      </c>
      <c r="B106">
        <v>44</v>
      </c>
      <c r="C106">
        <v>3</v>
      </c>
      <c r="D106">
        <v>3</v>
      </c>
      <c r="E106">
        <v>78</v>
      </c>
      <c r="F106">
        <v>161</v>
      </c>
      <c r="G106" s="15">
        <v>12</v>
      </c>
      <c r="H106">
        <f t="shared" si="1"/>
        <v>7.4534161490683232E-2</v>
      </c>
      <c r="I106">
        <v>0.35</v>
      </c>
      <c r="K106">
        <v>1</v>
      </c>
      <c r="L106">
        <v>53.5</v>
      </c>
    </row>
    <row r="107" spans="1:12" x14ac:dyDescent="0.2">
      <c r="A107" t="s">
        <v>212</v>
      </c>
      <c r="B107">
        <v>43</v>
      </c>
      <c r="C107">
        <v>1</v>
      </c>
      <c r="D107">
        <v>1</v>
      </c>
      <c r="E107">
        <v>123</v>
      </c>
      <c r="F107">
        <v>174</v>
      </c>
      <c r="G107">
        <v>3</v>
      </c>
      <c r="H107">
        <f t="shared" si="1"/>
        <v>1.7241379310344827E-2</v>
      </c>
      <c r="I107">
        <v>0.06</v>
      </c>
      <c r="K107">
        <v>1</v>
      </c>
      <c r="L107">
        <v>67.8</v>
      </c>
    </row>
    <row r="108" spans="1:12" x14ac:dyDescent="0.2">
      <c r="A108" t="s">
        <v>213</v>
      </c>
      <c r="B108">
        <v>44</v>
      </c>
      <c r="C108">
        <v>0</v>
      </c>
      <c r="D108">
        <v>0</v>
      </c>
      <c r="E108">
        <v>149</v>
      </c>
      <c r="F108">
        <v>158</v>
      </c>
      <c r="G108">
        <v>1</v>
      </c>
      <c r="H108">
        <f t="shared" si="1"/>
        <v>6.3291139240506328E-3</v>
      </c>
      <c r="I108">
        <v>0.51</v>
      </c>
      <c r="K108">
        <v>1</v>
      </c>
      <c r="L108">
        <v>31.3</v>
      </c>
    </row>
    <row r="109" spans="1:12" x14ac:dyDescent="0.2">
      <c r="A109" t="s">
        <v>284</v>
      </c>
      <c r="B109">
        <v>44</v>
      </c>
      <c r="C109">
        <v>0</v>
      </c>
      <c r="D109">
        <v>0</v>
      </c>
      <c r="E109">
        <v>149</v>
      </c>
      <c r="F109">
        <v>158</v>
      </c>
      <c r="G109">
        <v>1</v>
      </c>
      <c r="H109">
        <f t="shared" si="1"/>
        <v>6.3291139240506328E-3</v>
      </c>
      <c r="I109">
        <v>0.54</v>
      </c>
      <c r="K109">
        <v>1</v>
      </c>
      <c r="L109">
        <v>32</v>
      </c>
    </row>
    <row r="110" spans="1:12" x14ac:dyDescent="0.2">
      <c r="A110" t="s">
        <v>285</v>
      </c>
      <c r="B110">
        <v>43</v>
      </c>
      <c r="C110">
        <v>2</v>
      </c>
      <c r="D110">
        <v>1</v>
      </c>
      <c r="E110">
        <v>120</v>
      </c>
      <c r="F110">
        <v>153</v>
      </c>
      <c r="G110">
        <v>1</v>
      </c>
      <c r="H110">
        <f t="shared" si="1"/>
        <v>6.5359477124183009E-3</v>
      </c>
      <c r="I110">
        <v>0.03</v>
      </c>
      <c r="K110">
        <v>1</v>
      </c>
      <c r="L110">
        <v>30.6</v>
      </c>
    </row>
    <row r="111" spans="1:12" x14ac:dyDescent="0.2">
      <c r="A111" t="s">
        <v>286</v>
      </c>
      <c r="B111">
        <v>44</v>
      </c>
      <c r="C111">
        <v>2</v>
      </c>
      <c r="D111">
        <v>2</v>
      </c>
      <c r="E111">
        <v>108</v>
      </c>
      <c r="F111">
        <v>153</v>
      </c>
      <c r="G111">
        <v>1</v>
      </c>
      <c r="H111">
        <f t="shared" si="1"/>
        <v>6.5359477124183009E-3</v>
      </c>
      <c r="I111">
        <v>7.0000000000000007E-2</v>
      </c>
      <c r="K111">
        <v>3</v>
      </c>
      <c r="L111">
        <v>31.6</v>
      </c>
    </row>
    <row r="112" spans="1:12" x14ac:dyDescent="0.2">
      <c r="A112" t="s">
        <v>214</v>
      </c>
      <c r="B112">
        <v>41</v>
      </c>
      <c r="C112">
        <v>2</v>
      </c>
      <c r="D112">
        <v>1</v>
      </c>
      <c r="E112">
        <v>106</v>
      </c>
      <c r="F112">
        <v>161</v>
      </c>
      <c r="G112">
        <v>5</v>
      </c>
      <c r="H112">
        <f t="shared" si="1"/>
        <v>3.1055900621118012E-2</v>
      </c>
      <c r="I112">
        <v>7.0000000000000007E-2</v>
      </c>
      <c r="K112">
        <v>3</v>
      </c>
      <c r="L112">
        <v>35.5</v>
      </c>
    </row>
    <row r="113" spans="1:12" x14ac:dyDescent="0.2">
      <c r="A113" t="s">
        <v>215</v>
      </c>
      <c r="B113">
        <v>39</v>
      </c>
      <c r="C113">
        <v>2</v>
      </c>
      <c r="D113">
        <v>2</v>
      </c>
      <c r="E113">
        <v>119</v>
      </c>
      <c r="F113">
        <v>137</v>
      </c>
      <c r="G113" t="s">
        <v>439</v>
      </c>
      <c r="H113">
        <v>0</v>
      </c>
      <c r="I113">
        <v>0.03</v>
      </c>
      <c r="K113">
        <v>1</v>
      </c>
      <c r="L113">
        <v>53.1</v>
      </c>
    </row>
    <row r="114" spans="1:12" x14ac:dyDescent="0.2">
      <c r="A114" t="s">
        <v>287</v>
      </c>
      <c r="B114">
        <v>39</v>
      </c>
      <c r="C114">
        <v>2</v>
      </c>
      <c r="D114">
        <v>2</v>
      </c>
      <c r="E114">
        <v>115</v>
      </c>
      <c r="F114">
        <v>133</v>
      </c>
      <c r="G114" t="s">
        <v>439</v>
      </c>
      <c r="H114">
        <v>0</v>
      </c>
      <c r="I114">
        <v>0.04</v>
      </c>
      <c r="K114">
        <v>1</v>
      </c>
      <c r="L114">
        <v>16.3</v>
      </c>
    </row>
    <row r="115" spans="1:12" x14ac:dyDescent="0.2">
      <c r="A115" t="s">
        <v>288</v>
      </c>
      <c r="B115">
        <v>47</v>
      </c>
      <c r="C115">
        <v>2</v>
      </c>
      <c r="D115">
        <v>4</v>
      </c>
      <c r="E115">
        <v>74</v>
      </c>
      <c r="F115">
        <v>136</v>
      </c>
      <c r="G115" t="s">
        <v>439</v>
      </c>
      <c r="H115">
        <v>0</v>
      </c>
      <c r="I115">
        <v>0.28000000000000003</v>
      </c>
      <c r="K115">
        <v>1</v>
      </c>
      <c r="L115">
        <v>16.899999999999999</v>
      </c>
    </row>
    <row r="116" spans="1:12" x14ac:dyDescent="0.2">
      <c r="A116" t="s">
        <v>289</v>
      </c>
      <c r="B116">
        <v>43</v>
      </c>
      <c r="C116">
        <v>2</v>
      </c>
      <c r="D116">
        <v>2</v>
      </c>
      <c r="E116">
        <v>71</v>
      </c>
      <c r="F116">
        <v>133</v>
      </c>
      <c r="G116" t="s">
        <v>439</v>
      </c>
      <c r="H116">
        <v>0</v>
      </c>
      <c r="I116">
        <v>0.15</v>
      </c>
      <c r="K116">
        <v>1</v>
      </c>
      <c r="L116">
        <v>40.6</v>
      </c>
    </row>
    <row r="117" spans="1:12" x14ac:dyDescent="0.2">
      <c r="A117" t="s">
        <v>216</v>
      </c>
      <c r="B117">
        <v>41</v>
      </c>
      <c r="C117">
        <v>2</v>
      </c>
      <c r="D117">
        <v>1</v>
      </c>
      <c r="E117">
        <v>119</v>
      </c>
      <c r="F117">
        <v>151</v>
      </c>
      <c r="G117">
        <v>1</v>
      </c>
      <c r="H117">
        <f t="shared" si="1"/>
        <v>6.6225165562913907E-3</v>
      </c>
      <c r="I117">
        <v>0.04</v>
      </c>
      <c r="K117">
        <v>1</v>
      </c>
      <c r="L117">
        <v>29.5</v>
      </c>
    </row>
    <row r="118" spans="1:12" x14ac:dyDescent="0.2">
      <c r="A118" t="s">
        <v>290</v>
      </c>
      <c r="B118">
        <v>42</v>
      </c>
      <c r="C118">
        <v>2</v>
      </c>
      <c r="D118">
        <v>1</v>
      </c>
      <c r="E118">
        <v>106</v>
      </c>
      <c r="F118">
        <v>151</v>
      </c>
      <c r="G118">
        <v>1</v>
      </c>
      <c r="H118">
        <f t="shared" si="1"/>
        <v>6.6225165562913907E-3</v>
      </c>
      <c r="I118">
        <v>0.08</v>
      </c>
      <c r="K118">
        <v>3</v>
      </c>
      <c r="L118">
        <v>32.200000000000003</v>
      </c>
    </row>
    <row r="119" spans="1:12" x14ac:dyDescent="0.2">
      <c r="A119" t="s">
        <v>217</v>
      </c>
      <c r="B119">
        <v>40</v>
      </c>
      <c r="C119">
        <v>1</v>
      </c>
      <c r="D119">
        <v>2</v>
      </c>
      <c r="E119">
        <v>131</v>
      </c>
      <c r="F119">
        <v>162</v>
      </c>
      <c r="G119">
        <v>3</v>
      </c>
      <c r="H119">
        <f t="shared" si="1"/>
        <v>1.8518518518518517E-2</v>
      </c>
      <c r="I119">
        <v>0.04</v>
      </c>
      <c r="K119" t="s">
        <v>439</v>
      </c>
      <c r="L119">
        <v>0.4</v>
      </c>
    </row>
    <row r="120" spans="1:12" x14ac:dyDescent="0.2">
      <c r="A120" t="s">
        <v>291</v>
      </c>
      <c r="B120">
        <v>40</v>
      </c>
      <c r="C120">
        <v>2</v>
      </c>
      <c r="D120">
        <v>2</v>
      </c>
      <c r="E120">
        <v>118</v>
      </c>
      <c r="F120">
        <v>160</v>
      </c>
      <c r="G120">
        <v>1</v>
      </c>
      <c r="H120">
        <f t="shared" si="1"/>
        <v>6.2500000000000003E-3</v>
      </c>
      <c r="I120">
        <v>0.08</v>
      </c>
      <c r="K120">
        <v>3</v>
      </c>
      <c r="L120">
        <v>30.9</v>
      </c>
    </row>
    <row r="121" spans="1:12" x14ac:dyDescent="0.2">
      <c r="A121" t="s">
        <v>292</v>
      </c>
      <c r="B121">
        <v>49</v>
      </c>
      <c r="C121">
        <v>1</v>
      </c>
      <c r="D121">
        <v>3</v>
      </c>
      <c r="E121">
        <v>85</v>
      </c>
      <c r="F121">
        <v>160</v>
      </c>
      <c r="G121">
        <v>1</v>
      </c>
      <c r="H121">
        <f t="shared" si="1"/>
        <v>6.2500000000000003E-3</v>
      </c>
      <c r="I121">
        <v>0.34</v>
      </c>
      <c r="K121">
        <v>2</v>
      </c>
      <c r="L121">
        <v>54.9</v>
      </c>
    </row>
    <row r="122" spans="1:12" x14ac:dyDescent="0.2">
      <c r="A122" t="s">
        <v>218</v>
      </c>
      <c r="B122">
        <v>40</v>
      </c>
      <c r="C122">
        <v>1</v>
      </c>
      <c r="D122">
        <v>2</v>
      </c>
      <c r="E122">
        <v>141</v>
      </c>
      <c r="F122">
        <v>169</v>
      </c>
      <c r="G122">
        <v>1</v>
      </c>
      <c r="H122">
        <f t="shared" si="1"/>
        <v>5.9171597633136093E-3</v>
      </c>
      <c r="I122">
        <v>0.05</v>
      </c>
      <c r="K122">
        <v>3</v>
      </c>
      <c r="L122">
        <v>29.1</v>
      </c>
    </row>
    <row r="123" spans="1:12" x14ac:dyDescent="0.2">
      <c r="A123" t="s">
        <v>293</v>
      </c>
      <c r="B123">
        <v>50</v>
      </c>
      <c r="C123">
        <v>2</v>
      </c>
      <c r="D123">
        <v>3</v>
      </c>
      <c r="E123">
        <v>106</v>
      </c>
      <c r="F123">
        <v>175</v>
      </c>
      <c r="G123">
        <v>7</v>
      </c>
      <c r="H123">
        <f t="shared" si="1"/>
        <v>0.04</v>
      </c>
      <c r="I123">
        <v>0.63</v>
      </c>
      <c r="K123">
        <v>1</v>
      </c>
      <c r="L123">
        <v>28</v>
      </c>
    </row>
    <row r="124" spans="1:12" x14ac:dyDescent="0.2">
      <c r="A124" t="s">
        <v>294</v>
      </c>
      <c r="B124">
        <v>44</v>
      </c>
      <c r="C124">
        <v>1</v>
      </c>
      <c r="D124">
        <v>3</v>
      </c>
      <c r="E124">
        <v>81</v>
      </c>
      <c r="F124">
        <v>174</v>
      </c>
      <c r="G124">
        <v>8</v>
      </c>
      <c r="H124">
        <f t="shared" si="1"/>
        <v>4.5977011494252873E-2</v>
      </c>
      <c r="I124">
        <v>0.32</v>
      </c>
      <c r="K124" t="s">
        <v>439</v>
      </c>
      <c r="L124">
        <v>0.5</v>
      </c>
    </row>
    <row r="125" spans="1:12" x14ac:dyDescent="0.2">
      <c r="A125" t="s">
        <v>7</v>
      </c>
      <c r="B125">
        <v>24</v>
      </c>
      <c r="E125">
        <v>31</v>
      </c>
      <c r="F125">
        <v>45</v>
      </c>
      <c r="G125">
        <v>1</v>
      </c>
      <c r="H125">
        <f t="shared" si="1"/>
        <v>2.2222222222222223E-2</v>
      </c>
      <c r="I125" s="14">
        <v>0.1</v>
      </c>
      <c r="K125">
        <v>1</v>
      </c>
      <c r="L125">
        <v>1.6</v>
      </c>
    </row>
    <row r="126" spans="1:12" x14ac:dyDescent="0.2">
      <c r="A126" t="s">
        <v>9</v>
      </c>
      <c r="B126">
        <v>25</v>
      </c>
      <c r="E126">
        <v>47</v>
      </c>
      <c r="F126">
        <v>60</v>
      </c>
      <c r="G126">
        <v>1</v>
      </c>
      <c r="H126">
        <f t="shared" si="1"/>
        <v>1.6666666666666666E-2</v>
      </c>
      <c r="I126" s="14">
        <v>0.22</v>
      </c>
      <c r="K126">
        <v>1</v>
      </c>
      <c r="L126">
        <v>7.4</v>
      </c>
    </row>
    <row r="127" spans="1:12" x14ac:dyDescent="0.2">
      <c r="A127" t="s">
        <v>144</v>
      </c>
      <c r="B127">
        <v>24</v>
      </c>
      <c r="E127">
        <v>45</v>
      </c>
      <c r="F127">
        <v>59</v>
      </c>
      <c r="G127">
        <v>1</v>
      </c>
      <c r="H127">
        <f t="shared" si="1"/>
        <v>1.6949152542372881E-2</v>
      </c>
      <c r="I127" s="14">
        <v>0.03</v>
      </c>
      <c r="K127">
        <v>1</v>
      </c>
      <c r="L127">
        <v>1.3</v>
      </c>
    </row>
    <row r="128" spans="1:12" x14ac:dyDescent="0.2">
      <c r="A128" t="s">
        <v>153</v>
      </c>
      <c r="B128">
        <v>51</v>
      </c>
      <c r="E128">
        <v>155</v>
      </c>
      <c r="F128">
        <v>171</v>
      </c>
      <c r="G128">
        <v>1</v>
      </c>
      <c r="H128">
        <f t="shared" si="1"/>
        <v>5.8479532163742687E-3</v>
      </c>
      <c r="I128" s="14">
        <v>0.16</v>
      </c>
      <c r="K128">
        <v>5</v>
      </c>
      <c r="L128">
        <v>43.6</v>
      </c>
    </row>
    <row r="129" spans="1:12" x14ac:dyDescent="0.2">
      <c r="A129" t="s">
        <v>234</v>
      </c>
      <c r="B129">
        <v>52</v>
      </c>
      <c r="E129">
        <v>147</v>
      </c>
      <c r="F129">
        <v>163</v>
      </c>
      <c r="G129">
        <v>1</v>
      </c>
      <c r="H129">
        <f t="shared" si="1"/>
        <v>6.1349693251533744E-3</v>
      </c>
      <c r="I129" s="14">
        <v>0.13</v>
      </c>
      <c r="K129">
        <v>1</v>
      </c>
      <c r="L129">
        <v>94</v>
      </c>
    </row>
    <row r="130" spans="1:12" x14ac:dyDescent="0.2">
      <c r="A130" t="s">
        <v>170</v>
      </c>
      <c r="B130">
        <v>52</v>
      </c>
      <c r="E130">
        <v>168</v>
      </c>
      <c r="F130">
        <v>184</v>
      </c>
      <c r="G130">
        <v>1</v>
      </c>
      <c r="H130">
        <f t="shared" si="1"/>
        <v>5.434782608695652E-3</v>
      </c>
      <c r="I130" s="14">
        <v>0.13</v>
      </c>
      <c r="K130">
        <v>5</v>
      </c>
      <c r="L130">
        <v>67.599999999999994</v>
      </c>
    </row>
    <row r="131" spans="1:12" x14ac:dyDescent="0.2">
      <c r="A131" t="s">
        <v>172</v>
      </c>
      <c r="B131">
        <v>52</v>
      </c>
      <c r="E131">
        <v>143</v>
      </c>
      <c r="F131">
        <v>159</v>
      </c>
      <c r="G131">
        <v>1</v>
      </c>
      <c r="H131">
        <f t="shared" ref="H131:H152" si="2">G131/F131</f>
        <v>6.2893081761006293E-3</v>
      </c>
      <c r="I131" s="14">
        <v>0.11</v>
      </c>
      <c r="K131">
        <v>4</v>
      </c>
      <c r="L131">
        <v>49</v>
      </c>
    </row>
    <row r="132" spans="1:12" x14ac:dyDescent="0.2">
      <c r="A132" t="s">
        <v>237</v>
      </c>
      <c r="B132">
        <v>54</v>
      </c>
      <c r="E132">
        <v>140</v>
      </c>
      <c r="F132">
        <v>156</v>
      </c>
      <c r="G132">
        <v>1</v>
      </c>
      <c r="H132">
        <f t="shared" si="2"/>
        <v>6.41025641025641E-3</v>
      </c>
      <c r="I132" s="14">
        <v>0.11</v>
      </c>
      <c r="K132">
        <v>4</v>
      </c>
      <c r="L132">
        <v>40.4</v>
      </c>
    </row>
    <row r="133" spans="1:12" x14ac:dyDescent="0.2">
      <c r="A133" t="s">
        <v>174</v>
      </c>
      <c r="B133">
        <v>55</v>
      </c>
      <c r="E133">
        <v>169</v>
      </c>
      <c r="F133">
        <v>185</v>
      </c>
      <c r="G133">
        <v>1</v>
      </c>
      <c r="H133">
        <f t="shared" si="2"/>
        <v>5.4054054054054057E-3</v>
      </c>
      <c r="I133" s="14">
        <v>0.11</v>
      </c>
      <c r="K133">
        <v>4</v>
      </c>
      <c r="L133">
        <v>59.2</v>
      </c>
    </row>
    <row r="134" spans="1:12" x14ac:dyDescent="0.2">
      <c r="A134" t="s">
        <v>154</v>
      </c>
      <c r="B134">
        <v>47</v>
      </c>
      <c r="E134">
        <v>140</v>
      </c>
      <c r="F134">
        <v>157</v>
      </c>
      <c r="G134">
        <v>1</v>
      </c>
      <c r="H134">
        <f t="shared" si="2"/>
        <v>6.369426751592357E-3</v>
      </c>
      <c r="I134" s="14">
        <v>0.57999999999999996</v>
      </c>
      <c r="K134">
        <v>2</v>
      </c>
      <c r="L134">
        <v>91</v>
      </c>
    </row>
    <row r="135" spans="1:12" x14ac:dyDescent="0.2">
      <c r="A135" t="s">
        <v>239</v>
      </c>
      <c r="B135">
        <v>52</v>
      </c>
      <c r="E135">
        <v>156</v>
      </c>
      <c r="F135">
        <v>172</v>
      </c>
      <c r="G135">
        <v>1</v>
      </c>
      <c r="H135">
        <f t="shared" si="2"/>
        <v>5.8139534883720929E-3</v>
      </c>
      <c r="I135" s="14">
        <v>0.11</v>
      </c>
      <c r="K135">
        <v>5</v>
      </c>
      <c r="L135">
        <v>50.3</v>
      </c>
    </row>
    <row r="136" spans="1:12" x14ac:dyDescent="0.2">
      <c r="A136" t="s">
        <v>241</v>
      </c>
      <c r="B136">
        <v>60</v>
      </c>
      <c r="E136">
        <v>198</v>
      </c>
      <c r="F136">
        <v>214</v>
      </c>
      <c r="G136">
        <v>1</v>
      </c>
      <c r="H136">
        <f t="shared" si="2"/>
        <v>4.6728971962616819E-3</v>
      </c>
      <c r="I136" s="14">
        <v>0.13</v>
      </c>
      <c r="K136">
        <v>8</v>
      </c>
      <c r="L136">
        <v>77.2</v>
      </c>
    </row>
    <row r="137" spans="1:12" x14ac:dyDescent="0.2">
      <c r="A137" t="s">
        <v>157</v>
      </c>
      <c r="B137">
        <v>53</v>
      </c>
      <c r="E137">
        <v>184</v>
      </c>
      <c r="F137">
        <v>200</v>
      </c>
      <c r="G137">
        <v>1</v>
      </c>
      <c r="H137">
        <f t="shared" si="2"/>
        <v>5.0000000000000001E-3</v>
      </c>
      <c r="I137" s="14">
        <v>0.12</v>
      </c>
      <c r="K137">
        <v>5</v>
      </c>
      <c r="L137">
        <v>66.099999999999994</v>
      </c>
    </row>
    <row r="138" spans="1:12" x14ac:dyDescent="0.2">
      <c r="A138" t="s">
        <v>158</v>
      </c>
      <c r="B138">
        <v>59</v>
      </c>
      <c r="E138">
        <v>186</v>
      </c>
      <c r="F138">
        <v>202</v>
      </c>
      <c r="G138">
        <v>1</v>
      </c>
      <c r="H138">
        <f t="shared" si="2"/>
        <v>4.9504950495049506E-3</v>
      </c>
      <c r="I138" s="14">
        <v>0.1</v>
      </c>
      <c r="K138">
        <v>4</v>
      </c>
      <c r="L138">
        <v>63.3</v>
      </c>
    </row>
    <row r="139" spans="1:12" x14ac:dyDescent="0.2">
      <c r="A139" t="s">
        <v>159</v>
      </c>
      <c r="B139">
        <v>53</v>
      </c>
      <c r="E139">
        <v>181</v>
      </c>
      <c r="F139">
        <v>197</v>
      </c>
      <c r="G139">
        <v>1</v>
      </c>
      <c r="H139">
        <f t="shared" si="2"/>
        <v>5.076142131979695E-3</v>
      </c>
      <c r="I139" s="14">
        <v>0.12</v>
      </c>
      <c r="K139">
        <v>5</v>
      </c>
      <c r="L139">
        <v>68.5</v>
      </c>
    </row>
    <row r="140" spans="1:12" x14ac:dyDescent="0.2">
      <c r="A140" t="s">
        <v>243</v>
      </c>
      <c r="B140">
        <v>52</v>
      </c>
      <c r="E140">
        <v>185</v>
      </c>
      <c r="F140">
        <v>201</v>
      </c>
      <c r="G140">
        <v>1</v>
      </c>
      <c r="H140">
        <f t="shared" si="2"/>
        <v>4.9751243781094526E-3</v>
      </c>
      <c r="I140" s="14">
        <v>0.12</v>
      </c>
      <c r="K140">
        <v>5</v>
      </c>
      <c r="L140">
        <v>70</v>
      </c>
    </row>
    <row r="141" spans="1:12" x14ac:dyDescent="0.2">
      <c r="A141" t="s">
        <v>245</v>
      </c>
      <c r="B141">
        <v>56</v>
      </c>
      <c r="E141">
        <v>188</v>
      </c>
      <c r="F141">
        <v>204</v>
      </c>
      <c r="G141">
        <v>1</v>
      </c>
      <c r="H141">
        <f t="shared" si="2"/>
        <v>4.9019607843137254E-3</v>
      </c>
      <c r="I141" s="14">
        <v>0.12</v>
      </c>
      <c r="K141">
        <v>5</v>
      </c>
      <c r="L141">
        <v>68.400000000000006</v>
      </c>
    </row>
    <row r="142" spans="1:12" x14ac:dyDescent="0.2">
      <c r="A142" t="s">
        <v>165</v>
      </c>
      <c r="B142">
        <v>52</v>
      </c>
      <c r="E142">
        <v>153</v>
      </c>
      <c r="F142">
        <v>169</v>
      </c>
      <c r="G142">
        <v>1</v>
      </c>
      <c r="H142">
        <f t="shared" si="2"/>
        <v>5.9171597633136093E-3</v>
      </c>
      <c r="I142" s="14">
        <v>0.11</v>
      </c>
      <c r="K142">
        <v>4</v>
      </c>
      <c r="L142">
        <v>54</v>
      </c>
    </row>
    <row r="143" spans="1:12" x14ac:dyDescent="0.2">
      <c r="A143" t="s">
        <v>166</v>
      </c>
      <c r="B143">
        <v>52</v>
      </c>
      <c r="E143">
        <v>166</v>
      </c>
      <c r="F143">
        <v>182</v>
      </c>
      <c r="G143">
        <v>1</v>
      </c>
      <c r="H143">
        <f t="shared" si="2"/>
        <v>5.4945054945054949E-3</v>
      </c>
      <c r="I143" s="14">
        <v>0.15</v>
      </c>
      <c r="K143">
        <v>4</v>
      </c>
      <c r="L143">
        <v>57.3</v>
      </c>
    </row>
    <row r="144" spans="1:12" x14ac:dyDescent="0.2">
      <c r="A144" t="s">
        <v>167</v>
      </c>
      <c r="B144">
        <v>50</v>
      </c>
      <c r="E144">
        <v>158</v>
      </c>
      <c r="F144">
        <v>213</v>
      </c>
      <c r="G144">
        <v>1</v>
      </c>
      <c r="H144">
        <f t="shared" si="2"/>
        <v>4.6948356807511738E-3</v>
      </c>
      <c r="I144" s="14">
        <v>0.64</v>
      </c>
      <c r="K144">
        <v>3</v>
      </c>
      <c r="L144">
        <v>51.8</v>
      </c>
    </row>
    <row r="145" spans="1:12" x14ac:dyDescent="0.2">
      <c r="A145" t="s">
        <v>195</v>
      </c>
      <c r="B145">
        <v>38</v>
      </c>
      <c r="E145">
        <v>79</v>
      </c>
      <c r="F145">
        <v>90</v>
      </c>
      <c r="G145">
        <v>1</v>
      </c>
      <c r="H145">
        <f t="shared" si="2"/>
        <v>1.1111111111111112E-2</v>
      </c>
      <c r="I145" s="14">
        <v>0.1</v>
      </c>
      <c r="K145">
        <v>1</v>
      </c>
      <c r="L145">
        <v>7.4</v>
      </c>
    </row>
    <row r="146" spans="1:12" x14ac:dyDescent="0.2">
      <c r="A146" t="s">
        <v>180</v>
      </c>
      <c r="B146">
        <v>40</v>
      </c>
      <c r="E146">
        <v>85</v>
      </c>
      <c r="F146">
        <v>91</v>
      </c>
      <c r="G146">
        <v>1</v>
      </c>
      <c r="H146">
        <f t="shared" si="2"/>
        <v>1.098901098901099E-2</v>
      </c>
      <c r="I146" s="14">
        <v>0.21</v>
      </c>
      <c r="K146">
        <v>1</v>
      </c>
      <c r="L146">
        <v>6</v>
      </c>
    </row>
    <row r="147" spans="1:12" x14ac:dyDescent="0.2">
      <c r="A147" t="s">
        <v>184</v>
      </c>
      <c r="B147">
        <v>39</v>
      </c>
      <c r="E147">
        <v>91</v>
      </c>
      <c r="F147">
        <v>102</v>
      </c>
      <c r="G147">
        <v>1</v>
      </c>
      <c r="H147">
        <f t="shared" si="2"/>
        <v>9.8039215686274508E-3</v>
      </c>
      <c r="I147" s="14">
        <v>0.09</v>
      </c>
      <c r="K147">
        <v>1</v>
      </c>
      <c r="L147">
        <v>7.4</v>
      </c>
    </row>
    <row r="148" spans="1:12" x14ac:dyDescent="0.2">
      <c r="A148" t="s">
        <v>187</v>
      </c>
      <c r="B148">
        <v>37</v>
      </c>
      <c r="E148">
        <v>83</v>
      </c>
      <c r="F148">
        <v>89</v>
      </c>
      <c r="G148">
        <v>1</v>
      </c>
      <c r="H148">
        <f t="shared" si="2"/>
        <v>1.1235955056179775E-2</v>
      </c>
      <c r="I148" s="14">
        <v>0.09</v>
      </c>
      <c r="K148">
        <v>1</v>
      </c>
      <c r="L148">
        <v>6.8</v>
      </c>
    </row>
    <row r="149" spans="1:12" x14ac:dyDescent="0.2">
      <c r="A149" t="s">
        <v>198</v>
      </c>
      <c r="B149">
        <v>31</v>
      </c>
      <c r="E149">
        <v>71</v>
      </c>
      <c r="F149">
        <v>90</v>
      </c>
      <c r="G149">
        <v>1</v>
      </c>
      <c r="H149">
        <f t="shared" si="2"/>
        <v>1.1111111111111112E-2</v>
      </c>
      <c r="I149" s="14">
        <v>0.02</v>
      </c>
      <c r="K149">
        <v>1</v>
      </c>
      <c r="L149">
        <v>1.6</v>
      </c>
    </row>
    <row r="150" spans="1:12" x14ac:dyDescent="0.2">
      <c r="A150" t="s">
        <v>199</v>
      </c>
      <c r="B150">
        <v>60</v>
      </c>
      <c r="E150">
        <v>56</v>
      </c>
      <c r="F150">
        <v>67</v>
      </c>
      <c r="G150">
        <v>1</v>
      </c>
      <c r="H150">
        <f t="shared" si="2"/>
        <v>1.4925373134328358E-2</v>
      </c>
      <c r="I150" s="14">
        <v>0.66</v>
      </c>
      <c r="K150">
        <v>1</v>
      </c>
      <c r="L150">
        <v>2.7</v>
      </c>
    </row>
    <row r="151" spans="1:12" x14ac:dyDescent="0.2">
      <c r="A151" t="s">
        <v>205</v>
      </c>
      <c r="B151">
        <v>30</v>
      </c>
      <c r="E151">
        <v>79</v>
      </c>
      <c r="F151">
        <v>91</v>
      </c>
      <c r="G151">
        <v>1</v>
      </c>
      <c r="H151">
        <f t="shared" si="2"/>
        <v>1.098901098901099E-2</v>
      </c>
      <c r="I151" s="14">
        <v>0.53</v>
      </c>
      <c r="K151">
        <v>1</v>
      </c>
      <c r="L151">
        <v>2.9</v>
      </c>
    </row>
    <row r="152" spans="1:12" x14ac:dyDescent="0.2">
      <c r="A152" t="s">
        <v>275</v>
      </c>
      <c r="B152">
        <v>32</v>
      </c>
      <c r="E152">
        <v>78</v>
      </c>
      <c r="F152">
        <v>91</v>
      </c>
      <c r="G152">
        <v>1</v>
      </c>
      <c r="H152">
        <f t="shared" si="2"/>
        <v>1.098901098901099E-2</v>
      </c>
      <c r="I152" s="14">
        <v>0.05</v>
      </c>
      <c r="K152">
        <v>1</v>
      </c>
      <c r="L152">
        <v>1.8</v>
      </c>
    </row>
    <row r="155" spans="1:12" x14ac:dyDescent="0.2">
      <c r="E155" t="s">
        <v>441</v>
      </c>
      <c r="G155">
        <f>COUNTIF(G2:G152, "&lt;=1")</f>
        <v>90</v>
      </c>
      <c r="K155">
        <f>COUNTIF(K2:K152, "&lt;=1")</f>
        <v>74</v>
      </c>
    </row>
    <row r="156" spans="1:12" x14ac:dyDescent="0.2">
      <c r="E156" t="s">
        <v>442</v>
      </c>
      <c r="G156">
        <f>COUNTIF(G2:G152, "&lt;=5")</f>
        <v>125</v>
      </c>
      <c r="K156">
        <f>COUNTIF(K2:K152, "&lt;=5")</f>
        <v>127</v>
      </c>
    </row>
    <row r="157" spans="1:12" x14ac:dyDescent="0.2">
      <c r="E157" t="s">
        <v>443</v>
      </c>
      <c r="G157">
        <f>COUNTIF(G2:G152, "&lt;=10")</f>
        <v>135</v>
      </c>
      <c r="K157">
        <f>COUNTIF(K2:K152, "&lt;=10")</f>
        <v>136</v>
      </c>
    </row>
    <row r="158" spans="1:12" x14ac:dyDescent="0.2">
      <c r="E158" t="s">
        <v>461</v>
      </c>
      <c r="G158">
        <f>AVERAGE(G2:G152)</f>
        <v>2.4397163120567376</v>
      </c>
      <c r="H158">
        <f>AVERAGE(H2:H152)</f>
        <v>1.9046049266123678E-2</v>
      </c>
      <c r="I158">
        <f>AVERAGE(I2:I152)</f>
        <v>0.16344370860927152</v>
      </c>
      <c r="K158">
        <f>AVERAGE(K2:K152)</f>
        <v>3.0694444444444446</v>
      </c>
      <c r="L158">
        <f>AVERAGE(L2:L152)</f>
        <v>32.401986754966885</v>
      </c>
    </row>
    <row r="159" spans="1:12" x14ac:dyDescent="0.2">
      <c r="E159" t="s">
        <v>462</v>
      </c>
      <c r="G159">
        <f>COUNTIF(G2:G152, "=X")</f>
        <v>10</v>
      </c>
      <c r="K159">
        <f>COUNTIF(K2:K152, "=X")</f>
        <v>7</v>
      </c>
    </row>
    <row r="160" spans="1:12" x14ac:dyDescent="0.2">
      <c r="E160" t="s">
        <v>460</v>
      </c>
      <c r="G160">
        <f>MEDIAN(G2:G152)</f>
        <v>1</v>
      </c>
      <c r="K160">
        <f>MEDIAN(K2:K152)</f>
        <v>1</v>
      </c>
    </row>
    <row r="161" spans="5:11" x14ac:dyDescent="0.2">
      <c r="E161" t="s">
        <v>444</v>
      </c>
      <c r="G161">
        <f>COUNTIF(G2:G152, "&gt;10")</f>
        <v>6</v>
      </c>
      <c r="K161">
        <f>COUNTIF(K2:K152, "&gt;10")</f>
        <v>8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B3BB-F668-F347-9233-AF33BB198EBB}">
  <dimension ref="A1:H29"/>
  <sheetViews>
    <sheetView workbookViewId="0">
      <selection activeCell="A2" sqref="A2:H29"/>
    </sheetView>
  </sheetViews>
  <sheetFormatPr baseColWidth="10" defaultRowHeight="16" x14ac:dyDescent="0.2"/>
  <cols>
    <col min="1" max="1" width="25.5" customWidth="1"/>
    <col min="6" max="6" width="10.83203125" style="14"/>
  </cols>
  <sheetData>
    <row r="1" spans="1:8" x14ac:dyDescent="0.2">
      <c r="A1" t="s">
        <v>452</v>
      </c>
      <c r="B1" t="s">
        <v>453</v>
      </c>
      <c r="C1" t="s">
        <v>456</v>
      </c>
      <c r="D1" t="s">
        <v>457</v>
      </c>
      <c r="E1" t="s">
        <v>458</v>
      </c>
      <c r="F1" s="14" t="s">
        <v>296</v>
      </c>
      <c r="G1" t="s">
        <v>459</v>
      </c>
      <c r="H1" t="s">
        <v>296</v>
      </c>
    </row>
    <row r="2" spans="1:8" x14ac:dyDescent="0.2">
      <c r="A2" t="s">
        <v>7</v>
      </c>
      <c r="B2">
        <v>24</v>
      </c>
      <c r="C2">
        <v>31</v>
      </c>
      <c r="D2">
        <v>45</v>
      </c>
      <c r="E2">
        <v>1</v>
      </c>
      <c r="F2" s="14">
        <v>0.1</v>
      </c>
      <c r="G2">
        <v>1</v>
      </c>
      <c r="H2">
        <v>1.6</v>
      </c>
    </row>
    <row r="3" spans="1:8" x14ac:dyDescent="0.2">
      <c r="A3" t="s">
        <v>9</v>
      </c>
      <c r="B3">
        <v>25</v>
      </c>
      <c r="C3">
        <v>47</v>
      </c>
      <c r="D3">
        <v>60</v>
      </c>
      <c r="E3">
        <v>1</v>
      </c>
      <c r="F3" s="14">
        <v>0.22</v>
      </c>
      <c r="G3">
        <v>1</v>
      </c>
      <c r="H3">
        <v>7.4</v>
      </c>
    </row>
    <row r="4" spans="1:8" x14ac:dyDescent="0.2">
      <c r="A4" t="s">
        <v>144</v>
      </c>
      <c r="B4">
        <v>24</v>
      </c>
      <c r="C4">
        <v>45</v>
      </c>
      <c r="D4">
        <v>59</v>
      </c>
      <c r="E4">
        <v>1</v>
      </c>
      <c r="F4" s="14">
        <v>0.03</v>
      </c>
      <c r="G4">
        <v>1</v>
      </c>
      <c r="H4">
        <v>1.3</v>
      </c>
    </row>
    <row r="5" spans="1:8" x14ac:dyDescent="0.2">
      <c r="A5" t="s">
        <v>153</v>
      </c>
      <c r="B5">
        <v>51</v>
      </c>
      <c r="C5">
        <v>155</v>
      </c>
      <c r="D5">
        <v>171</v>
      </c>
      <c r="E5">
        <v>1</v>
      </c>
      <c r="F5" s="14">
        <v>0.16</v>
      </c>
      <c r="G5">
        <v>5</v>
      </c>
      <c r="H5">
        <v>43.6</v>
      </c>
    </row>
    <row r="6" spans="1:8" x14ac:dyDescent="0.2">
      <c r="A6" t="s">
        <v>234</v>
      </c>
      <c r="B6">
        <v>52</v>
      </c>
      <c r="C6">
        <v>147</v>
      </c>
      <c r="D6">
        <v>163</v>
      </c>
      <c r="E6">
        <v>1</v>
      </c>
      <c r="F6" s="14">
        <v>0.13</v>
      </c>
      <c r="G6">
        <v>1</v>
      </c>
      <c r="H6">
        <v>94</v>
      </c>
    </row>
    <row r="7" spans="1:8" x14ac:dyDescent="0.2">
      <c r="A7" t="s">
        <v>170</v>
      </c>
      <c r="B7">
        <v>52</v>
      </c>
      <c r="C7">
        <v>168</v>
      </c>
      <c r="D7">
        <v>184</v>
      </c>
      <c r="E7">
        <v>1</v>
      </c>
      <c r="F7" s="14">
        <v>0.13</v>
      </c>
      <c r="G7">
        <v>5</v>
      </c>
      <c r="H7">
        <v>67.599999999999994</v>
      </c>
    </row>
    <row r="8" spans="1:8" x14ac:dyDescent="0.2">
      <c r="A8" t="s">
        <v>172</v>
      </c>
      <c r="B8">
        <v>52</v>
      </c>
      <c r="C8">
        <v>143</v>
      </c>
      <c r="D8">
        <v>159</v>
      </c>
      <c r="E8">
        <v>1</v>
      </c>
      <c r="F8" s="14">
        <v>0.11</v>
      </c>
      <c r="G8">
        <v>4</v>
      </c>
      <c r="H8">
        <v>49</v>
      </c>
    </row>
    <row r="9" spans="1:8" x14ac:dyDescent="0.2">
      <c r="A9" t="s">
        <v>237</v>
      </c>
      <c r="B9">
        <v>54</v>
      </c>
      <c r="C9">
        <v>140</v>
      </c>
      <c r="D9">
        <v>156</v>
      </c>
      <c r="E9">
        <v>1</v>
      </c>
      <c r="F9" s="14">
        <v>0.11</v>
      </c>
      <c r="G9">
        <v>4</v>
      </c>
      <c r="H9">
        <v>40.4</v>
      </c>
    </row>
    <row r="10" spans="1:8" x14ac:dyDescent="0.2">
      <c r="A10" t="s">
        <v>174</v>
      </c>
      <c r="B10">
        <v>55</v>
      </c>
      <c r="C10">
        <v>169</v>
      </c>
      <c r="D10">
        <v>185</v>
      </c>
      <c r="E10">
        <v>1</v>
      </c>
      <c r="F10" s="14">
        <v>0.11</v>
      </c>
      <c r="G10">
        <v>4</v>
      </c>
      <c r="H10">
        <v>59.2</v>
      </c>
    </row>
    <row r="11" spans="1:8" x14ac:dyDescent="0.2">
      <c r="A11" t="s">
        <v>154</v>
      </c>
      <c r="B11">
        <v>47</v>
      </c>
      <c r="C11">
        <v>140</v>
      </c>
      <c r="D11">
        <v>157</v>
      </c>
      <c r="E11">
        <v>1</v>
      </c>
      <c r="F11" s="14">
        <v>0.57999999999999996</v>
      </c>
      <c r="G11">
        <v>2</v>
      </c>
      <c r="H11">
        <v>91</v>
      </c>
    </row>
    <row r="12" spans="1:8" x14ac:dyDescent="0.2">
      <c r="A12" t="s">
        <v>239</v>
      </c>
      <c r="B12">
        <v>52</v>
      </c>
      <c r="C12">
        <v>156</v>
      </c>
      <c r="D12">
        <v>172</v>
      </c>
      <c r="E12">
        <v>1</v>
      </c>
      <c r="F12" s="14">
        <v>0.11</v>
      </c>
      <c r="G12">
        <v>5</v>
      </c>
      <c r="H12">
        <v>50.3</v>
      </c>
    </row>
    <row r="13" spans="1:8" x14ac:dyDescent="0.2">
      <c r="A13" t="s">
        <v>241</v>
      </c>
      <c r="B13">
        <v>60</v>
      </c>
      <c r="C13">
        <v>198</v>
      </c>
      <c r="D13">
        <v>214</v>
      </c>
      <c r="E13">
        <v>1</v>
      </c>
      <c r="F13" s="14">
        <v>0.13</v>
      </c>
      <c r="G13">
        <v>8</v>
      </c>
      <c r="H13">
        <v>77.2</v>
      </c>
    </row>
    <row r="14" spans="1:8" x14ac:dyDescent="0.2">
      <c r="A14" t="s">
        <v>157</v>
      </c>
      <c r="B14">
        <v>53</v>
      </c>
      <c r="C14">
        <v>184</v>
      </c>
      <c r="D14">
        <v>200</v>
      </c>
      <c r="E14">
        <v>1</v>
      </c>
      <c r="F14" s="14">
        <v>0.12</v>
      </c>
      <c r="G14">
        <v>5</v>
      </c>
      <c r="H14">
        <v>66.099999999999994</v>
      </c>
    </row>
    <row r="15" spans="1:8" x14ac:dyDescent="0.2">
      <c r="A15" t="s">
        <v>158</v>
      </c>
      <c r="B15">
        <v>59</v>
      </c>
      <c r="C15">
        <v>186</v>
      </c>
      <c r="D15">
        <v>202</v>
      </c>
      <c r="E15">
        <v>1</v>
      </c>
      <c r="F15" s="14">
        <v>0.1</v>
      </c>
      <c r="G15">
        <v>4</v>
      </c>
      <c r="H15">
        <v>63.3</v>
      </c>
    </row>
    <row r="16" spans="1:8" x14ac:dyDescent="0.2">
      <c r="A16" t="s">
        <v>159</v>
      </c>
      <c r="B16">
        <v>53</v>
      </c>
      <c r="C16">
        <v>181</v>
      </c>
      <c r="D16">
        <v>197</v>
      </c>
      <c r="E16">
        <v>1</v>
      </c>
      <c r="F16" s="14">
        <v>0.12</v>
      </c>
      <c r="G16">
        <v>5</v>
      </c>
      <c r="H16">
        <v>68.5</v>
      </c>
    </row>
    <row r="17" spans="1:8" x14ac:dyDescent="0.2">
      <c r="A17" t="s">
        <v>243</v>
      </c>
      <c r="B17">
        <v>52</v>
      </c>
      <c r="C17">
        <v>185</v>
      </c>
      <c r="D17">
        <v>201</v>
      </c>
      <c r="E17">
        <v>1</v>
      </c>
      <c r="F17" s="14">
        <v>0.12</v>
      </c>
      <c r="G17">
        <v>5</v>
      </c>
      <c r="H17">
        <v>70</v>
      </c>
    </row>
    <row r="18" spans="1:8" x14ac:dyDescent="0.2">
      <c r="A18" t="s">
        <v>245</v>
      </c>
      <c r="B18">
        <v>56</v>
      </c>
      <c r="C18">
        <v>188</v>
      </c>
      <c r="D18">
        <v>204</v>
      </c>
      <c r="E18">
        <v>1</v>
      </c>
      <c r="F18" s="14">
        <v>0.12</v>
      </c>
      <c r="G18">
        <v>5</v>
      </c>
      <c r="H18">
        <v>68.400000000000006</v>
      </c>
    </row>
    <row r="19" spans="1:8" x14ac:dyDescent="0.2">
      <c r="A19" t="s">
        <v>165</v>
      </c>
      <c r="B19">
        <v>52</v>
      </c>
      <c r="C19">
        <v>153</v>
      </c>
      <c r="D19">
        <v>169</v>
      </c>
      <c r="E19">
        <v>1</v>
      </c>
      <c r="F19" s="14">
        <v>0.11</v>
      </c>
      <c r="G19">
        <v>4</v>
      </c>
      <c r="H19">
        <v>54</v>
      </c>
    </row>
    <row r="20" spans="1:8" x14ac:dyDescent="0.2">
      <c r="A20" t="s">
        <v>166</v>
      </c>
      <c r="B20">
        <v>52</v>
      </c>
      <c r="C20">
        <v>166</v>
      </c>
      <c r="D20">
        <v>182</v>
      </c>
      <c r="E20">
        <v>1</v>
      </c>
      <c r="F20" s="14">
        <v>0.15</v>
      </c>
      <c r="G20">
        <v>4</v>
      </c>
      <c r="H20">
        <v>57.3</v>
      </c>
    </row>
    <row r="21" spans="1:8" x14ac:dyDescent="0.2">
      <c r="A21" t="s">
        <v>167</v>
      </c>
      <c r="B21">
        <v>50</v>
      </c>
      <c r="C21">
        <v>158</v>
      </c>
      <c r="D21">
        <v>213</v>
      </c>
      <c r="E21">
        <v>1</v>
      </c>
      <c r="F21" s="14">
        <v>0.64</v>
      </c>
      <c r="G21">
        <v>3</v>
      </c>
      <c r="H21">
        <v>51.8</v>
      </c>
    </row>
    <row r="22" spans="1:8" x14ac:dyDescent="0.2">
      <c r="A22" t="s">
        <v>195</v>
      </c>
      <c r="B22">
        <v>38</v>
      </c>
      <c r="C22">
        <v>79</v>
      </c>
      <c r="D22">
        <v>90</v>
      </c>
      <c r="E22">
        <v>1</v>
      </c>
      <c r="F22" s="14">
        <v>0.1</v>
      </c>
      <c r="G22">
        <v>1</v>
      </c>
      <c r="H22">
        <v>7.4</v>
      </c>
    </row>
    <row r="23" spans="1:8" x14ac:dyDescent="0.2">
      <c r="A23" t="s">
        <v>180</v>
      </c>
      <c r="B23">
        <v>40</v>
      </c>
      <c r="C23">
        <v>85</v>
      </c>
      <c r="D23">
        <v>91</v>
      </c>
      <c r="E23">
        <v>1</v>
      </c>
      <c r="F23" s="14">
        <v>0.21</v>
      </c>
      <c r="G23">
        <v>1</v>
      </c>
      <c r="H23">
        <v>6</v>
      </c>
    </row>
    <row r="24" spans="1:8" x14ac:dyDescent="0.2">
      <c r="A24" t="s">
        <v>184</v>
      </c>
      <c r="B24">
        <v>39</v>
      </c>
      <c r="C24">
        <v>91</v>
      </c>
      <c r="D24">
        <v>102</v>
      </c>
      <c r="E24">
        <v>1</v>
      </c>
      <c r="F24" s="14">
        <v>0.09</v>
      </c>
      <c r="G24">
        <v>1</v>
      </c>
      <c r="H24">
        <v>7.4</v>
      </c>
    </row>
    <row r="25" spans="1:8" x14ac:dyDescent="0.2">
      <c r="A25" t="s">
        <v>187</v>
      </c>
      <c r="B25">
        <v>37</v>
      </c>
      <c r="C25">
        <v>83</v>
      </c>
      <c r="D25">
        <v>89</v>
      </c>
      <c r="E25">
        <v>1</v>
      </c>
      <c r="F25" s="14">
        <v>0.09</v>
      </c>
      <c r="G25">
        <v>1</v>
      </c>
      <c r="H25">
        <v>6.8</v>
      </c>
    </row>
    <row r="26" spans="1:8" x14ac:dyDescent="0.2">
      <c r="A26" t="s">
        <v>198</v>
      </c>
      <c r="B26">
        <v>31</v>
      </c>
      <c r="C26">
        <v>71</v>
      </c>
      <c r="D26">
        <v>90</v>
      </c>
      <c r="E26">
        <v>1</v>
      </c>
      <c r="F26" s="14">
        <v>0.02</v>
      </c>
      <c r="G26">
        <v>1</v>
      </c>
      <c r="H26">
        <v>1.6</v>
      </c>
    </row>
    <row r="27" spans="1:8" x14ac:dyDescent="0.2">
      <c r="A27" t="s">
        <v>199</v>
      </c>
      <c r="B27">
        <v>60</v>
      </c>
      <c r="C27">
        <v>56</v>
      </c>
      <c r="D27">
        <v>67</v>
      </c>
      <c r="E27">
        <v>1</v>
      </c>
      <c r="F27" s="14">
        <v>0.66</v>
      </c>
      <c r="G27">
        <v>1</v>
      </c>
      <c r="H27">
        <v>2.7</v>
      </c>
    </row>
    <row r="28" spans="1:8" x14ac:dyDescent="0.2">
      <c r="A28" t="s">
        <v>205</v>
      </c>
      <c r="B28">
        <v>30</v>
      </c>
      <c r="C28">
        <v>79</v>
      </c>
      <c r="D28">
        <v>91</v>
      </c>
      <c r="E28">
        <v>1</v>
      </c>
      <c r="F28" s="14">
        <v>0.53</v>
      </c>
      <c r="G28">
        <v>1</v>
      </c>
      <c r="H28">
        <v>2.9</v>
      </c>
    </row>
    <row r="29" spans="1:8" x14ac:dyDescent="0.2">
      <c r="A29" t="s">
        <v>275</v>
      </c>
      <c r="B29">
        <v>32</v>
      </c>
      <c r="C29">
        <v>78</v>
      </c>
      <c r="D29">
        <v>91</v>
      </c>
      <c r="E29">
        <v>1</v>
      </c>
      <c r="F29" s="14">
        <v>0.05</v>
      </c>
      <c r="G29">
        <v>1</v>
      </c>
      <c r="H29">
        <v>1.8</v>
      </c>
    </row>
  </sheetData>
  <hyperlinks>
    <hyperlink ref="B1" r:id="rId1" display="https://github.com/hadrizia/ProjetoAlloy" xr:uid="{78E47EAC-5D3B-A648-AD06-AA7072D17C2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41CB-9A7C-EA4A-BA2A-8DCA5BA2AC59}">
  <dimension ref="A1:H158"/>
  <sheetViews>
    <sheetView topLeftCell="A144" workbookViewId="0">
      <selection activeCell="G158" sqref="G158"/>
    </sheetView>
  </sheetViews>
  <sheetFormatPr baseColWidth="10" defaultRowHeight="16" x14ac:dyDescent="0.2"/>
  <cols>
    <col min="1" max="1" width="23.83203125" customWidth="1"/>
    <col min="2" max="2" width="73.1640625" customWidth="1"/>
  </cols>
  <sheetData>
    <row r="1" spans="1:8" ht="32" x14ac:dyDescent="0.2">
      <c r="A1" s="3" t="s">
        <v>143</v>
      </c>
      <c r="B1" s="4" t="s">
        <v>301</v>
      </c>
      <c r="C1">
        <v>1</v>
      </c>
      <c r="D1">
        <v>9.1999999999999993</v>
      </c>
      <c r="F1">
        <v>1</v>
      </c>
      <c r="G1">
        <v>0.61</v>
      </c>
    </row>
    <row r="2" spans="1:8" ht="32" x14ac:dyDescent="0.2">
      <c r="A2" s="3" t="s">
        <v>7</v>
      </c>
      <c r="B2" s="4" t="s">
        <v>300</v>
      </c>
      <c r="C2">
        <v>1</v>
      </c>
      <c r="D2">
        <v>1.6</v>
      </c>
      <c r="F2">
        <v>1</v>
      </c>
      <c r="G2">
        <v>0.1</v>
      </c>
      <c r="H2" t="s">
        <v>438</v>
      </c>
    </row>
    <row r="3" spans="1:8" x14ac:dyDescent="0.2">
      <c r="A3" s="3" t="s">
        <v>9</v>
      </c>
      <c r="B3" s="3" t="s">
        <v>11</v>
      </c>
      <c r="C3">
        <v>1</v>
      </c>
      <c r="D3">
        <v>7.4</v>
      </c>
      <c r="F3">
        <v>1</v>
      </c>
      <c r="G3">
        <v>0.22</v>
      </c>
      <c r="H3" t="s">
        <v>438</v>
      </c>
    </row>
    <row r="4" spans="1:8" x14ac:dyDescent="0.2">
      <c r="A4" s="3" t="s">
        <v>146</v>
      </c>
      <c r="B4" s="3" t="s">
        <v>303</v>
      </c>
      <c r="C4">
        <v>1</v>
      </c>
      <c r="D4">
        <v>6.1</v>
      </c>
      <c r="F4">
        <v>1</v>
      </c>
      <c r="G4">
        <v>0.13</v>
      </c>
    </row>
    <row r="5" spans="1:8" ht="32" x14ac:dyDescent="0.2">
      <c r="A5" s="3" t="s">
        <v>147</v>
      </c>
      <c r="B5" s="4" t="s">
        <v>304</v>
      </c>
      <c r="C5">
        <v>1</v>
      </c>
      <c r="D5">
        <v>8.6999999999999993</v>
      </c>
      <c r="F5">
        <v>1</v>
      </c>
      <c r="G5">
        <v>0.19</v>
      </c>
    </row>
    <row r="6" spans="1:8" ht="32" x14ac:dyDescent="0.2">
      <c r="A6" s="3" t="s">
        <v>148</v>
      </c>
      <c r="B6" s="4" t="s">
        <v>440</v>
      </c>
      <c r="C6">
        <v>1</v>
      </c>
      <c r="D6">
        <v>5.8</v>
      </c>
      <c r="F6">
        <v>1</v>
      </c>
      <c r="G6">
        <v>0.21</v>
      </c>
    </row>
    <row r="7" spans="1:8" ht="48" x14ac:dyDescent="0.2">
      <c r="A7" s="3" t="s">
        <v>149</v>
      </c>
      <c r="B7" s="4" t="s">
        <v>305</v>
      </c>
      <c r="C7">
        <v>2</v>
      </c>
      <c r="D7">
        <v>4.4000000000000004</v>
      </c>
      <c r="F7">
        <v>1</v>
      </c>
      <c r="G7">
        <v>0.28999999999999998</v>
      </c>
    </row>
    <row r="8" spans="1:8" x14ac:dyDescent="0.2">
      <c r="A8" s="3" t="s">
        <v>150</v>
      </c>
      <c r="B8" s="3" t="s">
        <v>306</v>
      </c>
      <c r="C8">
        <v>1</v>
      </c>
      <c r="D8">
        <v>6.9</v>
      </c>
      <c r="F8">
        <v>1</v>
      </c>
      <c r="G8">
        <v>0.14000000000000001</v>
      </c>
    </row>
    <row r="9" spans="1:8" x14ac:dyDescent="0.2">
      <c r="A9" s="3" t="s">
        <v>228</v>
      </c>
      <c r="B9" s="3" t="s">
        <v>307</v>
      </c>
      <c r="C9">
        <v>1</v>
      </c>
      <c r="D9">
        <v>5.7</v>
      </c>
      <c r="F9">
        <v>2</v>
      </c>
      <c r="G9">
        <v>0.92</v>
      </c>
    </row>
    <row r="10" spans="1:8" x14ac:dyDescent="0.2">
      <c r="A10" s="6" t="s">
        <v>151</v>
      </c>
      <c r="B10" s="3" t="s">
        <v>308</v>
      </c>
      <c r="C10">
        <v>1</v>
      </c>
      <c r="D10">
        <v>8.8000000000000007</v>
      </c>
      <c r="F10" s="7">
        <v>4</v>
      </c>
      <c r="G10">
        <v>0.53</v>
      </c>
    </row>
    <row r="11" spans="1:8" ht="48" x14ac:dyDescent="0.2">
      <c r="A11" s="3" t="s">
        <v>152</v>
      </c>
      <c r="B11" s="4" t="s">
        <v>309</v>
      </c>
      <c r="C11">
        <v>2</v>
      </c>
      <c r="D11">
        <v>8</v>
      </c>
      <c r="F11">
        <v>2</v>
      </c>
      <c r="G11">
        <v>0.15</v>
      </c>
    </row>
    <row r="12" spans="1:8" ht="32" x14ac:dyDescent="0.2">
      <c r="A12" s="3" t="s">
        <v>144</v>
      </c>
      <c r="B12" s="4" t="s">
        <v>310</v>
      </c>
      <c r="C12">
        <v>1</v>
      </c>
      <c r="D12">
        <v>1.3</v>
      </c>
      <c r="F12">
        <v>1</v>
      </c>
      <c r="G12">
        <v>0.03</v>
      </c>
      <c r="H12" t="s">
        <v>438</v>
      </c>
    </row>
    <row r="13" spans="1:8" ht="48" x14ac:dyDescent="0.2">
      <c r="A13" s="6" t="s">
        <v>145</v>
      </c>
      <c r="B13" s="4" t="s">
        <v>311</v>
      </c>
      <c r="C13">
        <v>1</v>
      </c>
      <c r="D13">
        <v>7</v>
      </c>
      <c r="F13" s="7">
        <v>5</v>
      </c>
      <c r="G13">
        <v>0.1</v>
      </c>
    </row>
    <row r="14" spans="1:8" ht="32" x14ac:dyDescent="0.2">
      <c r="A14" s="3" t="s">
        <v>153</v>
      </c>
      <c r="B14" s="4" t="s">
        <v>312</v>
      </c>
      <c r="C14">
        <v>5</v>
      </c>
      <c r="D14">
        <v>43.6</v>
      </c>
      <c r="F14">
        <v>1</v>
      </c>
      <c r="G14">
        <v>0.16</v>
      </c>
      <c r="H14" t="s">
        <v>438</v>
      </c>
    </row>
    <row r="15" spans="1:8" x14ac:dyDescent="0.2">
      <c r="A15" s="5" t="s">
        <v>164</v>
      </c>
      <c r="B15" s="3" t="s">
        <v>313</v>
      </c>
      <c r="C15">
        <v>12</v>
      </c>
      <c r="D15">
        <v>68.3</v>
      </c>
      <c r="F15">
        <v>1</v>
      </c>
      <c r="G15">
        <v>0.42</v>
      </c>
    </row>
    <row r="16" spans="1:8" x14ac:dyDescent="0.2">
      <c r="A16" s="3" t="s">
        <v>229</v>
      </c>
      <c r="B16" s="3" t="s">
        <v>314</v>
      </c>
      <c r="C16">
        <v>13</v>
      </c>
      <c r="D16">
        <v>68.5</v>
      </c>
      <c r="F16">
        <v>1</v>
      </c>
      <c r="G16">
        <v>0.27</v>
      </c>
    </row>
    <row r="17" spans="1:8" x14ac:dyDescent="0.2">
      <c r="A17" s="3" t="s">
        <v>230</v>
      </c>
      <c r="B17" s="3" t="s">
        <v>315</v>
      </c>
      <c r="C17">
        <v>2</v>
      </c>
      <c r="D17">
        <v>95.2</v>
      </c>
      <c r="F17">
        <v>4</v>
      </c>
      <c r="G17">
        <v>0.08</v>
      </c>
    </row>
    <row r="18" spans="1:8" x14ac:dyDescent="0.2">
      <c r="A18" s="3" t="s">
        <v>231</v>
      </c>
      <c r="B18" s="3" t="s">
        <v>27</v>
      </c>
      <c r="C18">
        <v>2</v>
      </c>
      <c r="D18">
        <v>68.099999999999994</v>
      </c>
      <c r="F18">
        <v>2</v>
      </c>
      <c r="G18">
        <v>0.13</v>
      </c>
    </row>
    <row r="19" spans="1:8" ht="32" x14ac:dyDescent="0.2">
      <c r="A19" s="6" t="s">
        <v>168</v>
      </c>
      <c r="B19" s="4" t="s">
        <v>316</v>
      </c>
      <c r="C19">
        <v>8</v>
      </c>
      <c r="D19">
        <v>70</v>
      </c>
      <c r="F19">
        <v>4</v>
      </c>
      <c r="G19">
        <v>0.14000000000000001</v>
      </c>
    </row>
    <row r="20" spans="1:8" ht="32" x14ac:dyDescent="0.2">
      <c r="A20" s="3" t="s">
        <v>232</v>
      </c>
      <c r="B20" s="4" t="s">
        <v>317</v>
      </c>
      <c r="C20">
        <v>7</v>
      </c>
      <c r="D20">
        <v>71.2</v>
      </c>
      <c r="F20">
        <v>6</v>
      </c>
      <c r="G20">
        <v>0.2</v>
      </c>
    </row>
    <row r="21" spans="1:8" ht="96" x14ac:dyDescent="0.2">
      <c r="A21" s="3" t="s">
        <v>233</v>
      </c>
      <c r="B21" s="4" t="s">
        <v>318</v>
      </c>
      <c r="C21">
        <v>1</v>
      </c>
      <c r="D21">
        <v>68.599999999999994</v>
      </c>
      <c r="F21">
        <v>1</v>
      </c>
      <c r="G21">
        <v>0.24</v>
      </c>
    </row>
    <row r="22" spans="1:8" ht="48" x14ac:dyDescent="0.2">
      <c r="A22" s="13" t="s">
        <v>169</v>
      </c>
      <c r="B22" s="4" t="s">
        <v>320</v>
      </c>
      <c r="C22">
        <v>4</v>
      </c>
      <c r="D22">
        <v>70.400000000000006</v>
      </c>
      <c r="F22" t="s">
        <v>439</v>
      </c>
      <c r="G22">
        <v>0.12</v>
      </c>
    </row>
    <row r="23" spans="1:8" ht="32" x14ac:dyDescent="0.2">
      <c r="A23" s="6" t="s">
        <v>234</v>
      </c>
      <c r="B23" s="4" t="s">
        <v>319</v>
      </c>
      <c r="C23">
        <v>1</v>
      </c>
      <c r="D23">
        <v>94</v>
      </c>
      <c r="F23">
        <v>1</v>
      </c>
      <c r="G23">
        <v>0.13</v>
      </c>
      <c r="H23" t="s">
        <v>438</v>
      </c>
    </row>
    <row r="24" spans="1:8" ht="96" x14ac:dyDescent="0.2">
      <c r="A24" s="6" t="s">
        <v>235</v>
      </c>
      <c r="B24" s="4" t="s">
        <v>321</v>
      </c>
      <c r="C24">
        <v>1</v>
      </c>
      <c r="D24">
        <v>84.8</v>
      </c>
      <c r="F24">
        <v>11</v>
      </c>
      <c r="G24">
        <v>0.26</v>
      </c>
    </row>
    <row r="25" spans="1:8" ht="32" x14ac:dyDescent="0.2">
      <c r="A25" s="3" t="s">
        <v>170</v>
      </c>
      <c r="B25" s="4" t="s">
        <v>322</v>
      </c>
      <c r="C25">
        <v>5</v>
      </c>
      <c r="D25">
        <v>67.599999999999994</v>
      </c>
      <c r="F25">
        <v>1</v>
      </c>
      <c r="G25">
        <v>0.13</v>
      </c>
      <c r="H25" t="s">
        <v>438</v>
      </c>
    </row>
    <row r="26" spans="1:8" ht="96" x14ac:dyDescent="0.2">
      <c r="A26" s="6" t="s">
        <v>171</v>
      </c>
      <c r="B26" s="4" t="s">
        <v>323</v>
      </c>
      <c r="C26">
        <v>1</v>
      </c>
      <c r="D26">
        <v>69.400000000000006</v>
      </c>
      <c r="F26">
        <v>8</v>
      </c>
      <c r="G26">
        <v>0.19</v>
      </c>
    </row>
    <row r="27" spans="1:8" ht="32" x14ac:dyDescent="0.2">
      <c r="A27" s="3" t="s">
        <v>172</v>
      </c>
      <c r="B27" s="4" t="s">
        <v>324</v>
      </c>
      <c r="C27">
        <v>4</v>
      </c>
      <c r="D27">
        <v>49</v>
      </c>
      <c r="F27">
        <v>1</v>
      </c>
      <c r="G27">
        <v>0.11</v>
      </c>
      <c r="H27" t="s">
        <v>438</v>
      </c>
    </row>
    <row r="28" spans="1:8" ht="32" x14ac:dyDescent="0.2">
      <c r="A28" s="3" t="s">
        <v>173</v>
      </c>
      <c r="B28" s="4" t="s">
        <v>325</v>
      </c>
      <c r="C28">
        <v>8</v>
      </c>
      <c r="D28">
        <v>62.8</v>
      </c>
      <c r="F28">
        <v>3</v>
      </c>
      <c r="G28">
        <v>0.26</v>
      </c>
    </row>
    <row r="29" spans="1:8" ht="32" x14ac:dyDescent="0.2">
      <c r="A29" s="3" t="s">
        <v>236</v>
      </c>
      <c r="B29" s="4" t="s">
        <v>326</v>
      </c>
      <c r="C29">
        <v>8</v>
      </c>
      <c r="D29">
        <v>62.7</v>
      </c>
      <c r="F29">
        <v>3</v>
      </c>
      <c r="G29">
        <v>0.24</v>
      </c>
    </row>
    <row r="30" spans="1:8" ht="32" x14ac:dyDescent="0.2">
      <c r="A30" s="3" t="s">
        <v>237</v>
      </c>
      <c r="B30" s="4" t="s">
        <v>324</v>
      </c>
      <c r="C30">
        <v>4</v>
      </c>
      <c r="D30">
        <v>40.4</v>
      </c>
      <c r="F30">
        <v>1</v>
      </c>
      <c r="G30">
        <v>0.11</v>
      </c>
      <c r="H30" t="s">
        <v>438</v>
      </c>
    </row>
    <row r="31" spans="1:8" ht="32" x14ac:dyDescent="0.2">
      <c r="A31" s="3" t="s">
        <v>174</v>
      </c>
      <c r="B31" s="4" t="s">
        <v>327</v>
      </c>
      <c r="C31">
        <v>4</v>
      </c>
      <c r="D31">
        <v>59.2</v>
      </c>
      <c r="F31">
        <v>1</v>
      </c>
      <c r="G31">
        <v>0.11</v>
      </c>
      <c r="H31" t="s">
        <v>438</v>
      </c>
    </row>
    <row r="32" spans="1:8" x14ac:dyDescent="0.2">
      <c r="A32" s="3" t="s">
        <v>154</v>
      </c>
      <c r="B32" s="3" t="s">
        <v>328</v>
      </c>
      <c r="C32">
        <v>2</v>
      </c>
      <c r="D32">
        <v>91</v>
      </c>
      <c r="F32">
        <v>1</v>
      </c>
      <c r="G32">
        <v>0.57999999999999996</v>
      </c>
      <c r="H32" t="s">
        <v>438</v>
      </c>
    </row>
    <row r="33" spans="1:8" ht="32" x14ac:dyDescent="0.2">
      <c r="A33" s="3" t="s">
        <v>239</v>
      </c>
      <c r="B33" s="4" t="s">
        <v>330</v>
      </c>
      <c r="C33">
        <v>5</v>
      </c>
      <c r="D33">
        <v>50.3</v>
      </c>
      <c r="F33">
        <v>1</v>
      </c>
      <c r="G33">
        <v>0.11</v>
      </c>
      <c r="H33" t="s">
        <v>438</v>
      </c>
    </row>
    <row r="34" spans="1:8" ht="128" x14ac:dyDescent="0.2">
      <c r="A34" s="3" t="s">
        <v>240</v>
      </c>
      <c r="B34" s="4" t="s">
        <v>331</v>
      </c>
      <c r="C34">
        <v>4</v>
      </c>
      <c r="D34">
        <v>91.7</v>
      </c>
      <c r="F34">
        <v>5</v>
      </c>
      <c r="G34">
        <v>0.3</v>
      </c>
    </row>
    <row r="35" spans="1:8" ht="48" x14ac:dyDescent="0.2">
      <c r="A35" s="6" t="s">
        <v>155</v>
      </c>
      <c r="B35" s="4" t="s">
        <v>332</v>
      </c>
      <c r="C35">
        <v>31</v>
      </c>
      <c r="D35">
        <v>77</v>
      </c>
      <c r="F35" t="s">
        <v>439</v>
      </c>
      <c r="G35">
        <v>0.22</v>
      </c>
    </row>
    <row r="36" spans="1:8" ht="64" x14ac:dyDescent="0.2">
      <c r="A36" s="3" t="s">
        <v>241</v>
      </c>
      <c r="B36" s="4" t="s">
        <v>333</v>
      </c>
      <c r="C36">
        <v>8</v>
      </c>
      <c r="D36">
        <v>77.2</v>
      </c>
      <c r="F36">
        <v>1</v>
      </c>
      <c r="G36">
        <v>0.13</v>
      </c>
      <c r="H36" t="s">
        <v>438</v>
      </c>
    </row>
    <row r="37" spans="1:8" ht="32" x14ac:dyDescent="0.2">
      <c r="A37" s="3" t="s">
        <v>156</v>
      </c>
      <c r="B37" s="4" t="s">
        <v>334</v>
      </c>
      <c r="C37" t="s">
        <v>439</v>
      </c>
      <c r="D37">
        <v>0.6</v>
      </c>
      <c r="F37">
        <v>2</v>
      </c>
      <c r="G37">
        <v>0.17</v>
      </c>
    </row>
    <row r="38" spans="1:8" ht="64" x14ac:dyDescent="0.2">
      <c r="A38" s="3" t="s">
        <v>242</v>
      </c>
      <c r="B38" s="4" t="s">
        <v>335</v>
      </c>
      <c r="C38">
        <v>6</v>
      </c>
      <c r="D38">
        <v>62.9</v>
      </c>
      <c r="F38">
        <v>8</v>
      </c>
      <c r="G38">
        <v>0.19</v>
      </c>
    </row>
    <row r="39" spans="1:8" ht="32" x14ac:dyDescent="0.2">
      <c r="A39" s="3" t="s">
        <v>157</v>
      </c>
      <c r="B39" s="4" t="s">
        <v>322</v>
      </c>
      <c r="C39">
        <v>5</v>
      </c>
      <c r="D39">
        <v>66.099999999999994</v>
      </c>
      <c r="F39">
        <v>1</v>
      </c>
      <c r="G39">
        <v>0.12</v>
      </c>
      <c r="H39" t="s">
        <v>438</v>
      </c>
    </row>
    <row r="40" spans="1:8" ht="32" x14ac:dyDescent="0.2">
      <c r="A40" s="3" t="s">
        <v>158</v>
      </c>
      <c r="B40" s="4" t="s">
        <v>327</v>
      </c>
      <c r="C40">
        <v>4</v>
      </c>
      <c r="D40">
        <v>63.3</v>
      </c>
      <c r="F40">
        <v>1</v>
      </c>
      <c r="G40">
        <v>0.1</v>
      </c>
      <c r="H40" t="s">
        <v>438</v>
      </c>
    </row>
    <row r="41" spans="1:8" ht="32" x14ac:dyDescent="0.2">
      <c r="A41" s="3" t="s">
        <v>159</v>
      </c>
      <c r="B41" s="4" t="s">
        <v>330</v>
      </c>
      <c r="C41">
        <v>5</v>
      </c>
      <c r="D41">
        <v>68.5</v>
      </c>
      <c r="F41">
        <v>1</v>
      </c>
      <c r="G41">
        <v>0.12</v>
      </c>
      <c r="H41" t="s">
        <v>438</v>
      </c>
    </row>
    <row r="42" spans="1:8" ht="160" x14ac:dyDescent="0.2">
      <c r="A42" s="6" t="s">
        <v>160</v>
      </c>
      <c r="B42" s="4" t="s">
        <v>336</v>
      </c>
      <c r="C42">
        <v>3</v>
      </c>
      <c r="D42">
        <v>76.900000000000006</v>
      </c>
      <c r="F42">
        <v>12</v>
      </c>
      <c r="G42">
        <v>0.27</v>
      </c>
    </row>
    <row r="43" spans="1:8" ht="32" x14ac:dyDescent="0.2">
      <c r="A43" s="6" t="s">
        <v>161</v>
      </c>
      <c r="B43" s="4" t="s">
        <v>337</v>
      </c>
      <c r="C43">
        <v>1</v>
      </c>
      <c r="D43">
        <v>113.7</v>
      </c>
      <c r="F43">
        <v>12</v>
      </c>
      <c r="G43">
        <v>0.19</v>
      </c>
    </row>
    <row r="44" spans="1:8" ht="32" x14ac:dyDescent="0.2">
      <c r="A44" s="3" t="s">
        <v>243</v>
      </c>
      <c r="B44" s="4" t="s">
        <v>338</v>
      </c>
      <c r="C44">
        <v>5</v>
      </c>
      <c r="D44">
        <v>70</v>
      </c>
      <c r="F44">
        <v>1</v>
      </c>
      <c r="G44">
        <v>0.12</v>
      </c>
      <c r="H44" t="s">
        <v>438</v>
      </c>
    </row>
    <row r="45" spans="1:8" x14ac:dyDescent="0.2">
      <c r="A45" s="3" t="s">
        <v>244</v>
      </c>
      <c r="B45" s="3" t="s">
        <v>339</v>
      </c>
      <c r="C45">
        <v>1</v>
      </c>
      <c r="D45">
        <v>83.9</v>
      </c>
      <c r="F45">
        <v>9</v>
      </c>
      <c r="G45">
        <v>0.18</v>
      </c>
    </row>
    <row r="46" spans="1:8" x14ac:dyDescent="0.2">
      <c r="A46" s="3" t="s">
        <v>162</v>
      </c>
      <c r="B46" s="3" t="s">
        <v>340</v>
      </c>
      <c r="C46" t="s">
        <v>439</v>
      </c>
      <c r="D46">
        <v>0.7</v>
      </c>
      <c r="F46">
        <v>2</v>
      </c>
      <c r="G46">
        <v>1.36</v>
      </c>
    </row>
    <row r="47" spans="1:8" ht="32" x14ac:dyDescent="0.2">
      <c r="A47" s="3" t="s">
        <v>245</v>
      </c>
      <c r="B47" s="4" t="s">
        <v>322</v>
      </c>
      <c r="C47">
        <v>5</v>
      </c>
      <c r="D47">
        <v>68.400000000000006</v>
      </c>
      <c r="F47">
        <v>1</v>
      </c>
      <c r="G47">
        <v>0.12</v>
      </c>
      <c r="H47" t="s">
        <v>438</v>
      </c>
    </row>
    <row r="48" spans="1:8" ht="32" x14ac:dyDescent="0.2">
      <c r="A48" s="3" t="s">
        <v>163</v>
      </c>
      <c r="B48" s="4" t="s">
        <v>341</v>
      </c>
      <c r="C48">
        <v>1</v>
      </c>
      <c r="D48">
        <v>93.6</v>
      </c>
      <c r="F48">
        <v>2</v>
      </c>
      <c r="G48">
        <v>0.09</v>
      </c>
    </row>
    <row r="49" spans="1:8" x14ac:dyDescent="0.2">
      <c r="A49" s="3" t="s">
        <v>246</v>
      </c>
      <c r="B49" s="3" t="s">
        <v>342</v>
      </c>
      <c r="C49">
        <v>10</v>
      </c>
      <c r="D49">
        <v>88.7</v>
      </c>
      <c r="F49">
        <v>2</v>
      </c>
      <c r="G49">
        <v>0.06</v>
      </c>
    </row>
    <row r="50" spans="1:8" x14ac:dyDescent="0.2">
      <c r="A50" s="3" t="s">
        <v>247</v>
      </c>
      <c r="B50" s="3" t="s">
        <v>343</v>
      </c>
      <c r="C50">
        <v>2</v>
      </c>
      <c r="D50">
        <v>50.1</v>
      </c>
      <c r="F50">
        <v>8</v>
      </c>
      <c r="G50">
        <v>0.18</v>
      </c>
    </row>
    <row r="51" spans="1:8" ht="32" x14ac:dyDescent="0.2">
      <c r="A51" s="3" t="s">
        <v>165</v>
      </c>
      <c r="B51" s="4" t="s">
        <v>344</v>
      </c>
      <c r="C51">
        <v>4</v>
      </c>
      <c r="D51">
        <v>54</v>
      </c>
      <c r="F51">
        <v>1</v>
      </c>
      <c r="G51">
        <v>0.11</v>
      </c>
      <c r="H51" t="s">
        <v>438</v>
      </c>
    </row>
    <row r="52" spans="1:8" x14ac:dyDescent="0.2">
      <c r="A52" s="3" t="s">
        <v>248</v>
      </c>
      <c r="B52" s="3" t="s">
        <v>345</v>
      </c>
      <c r="C52">
        <v>2</v>
      </c>
      <c r="D52">
        <v>83.3</v>
      </c>
      <c r="F52">
        <v>6</v>
      </c>
      <c r="G52">
        <v>0.21</v>
      </c>
    </row>
    <row r="53" spans="1:8" ht="32" x14ac:dyDescent="0.2">
      <c r="A53" s="3" t="s">
        <v>166</v>
      </c>
      <c r="B53" s="4" t="s">
        <v>346</v>
      </c>
      <c r="C53">
        <v>4</v>
      </c>
      <c r="D53">
        <v>57.3</v>
      </c>
      <c r="F53">
        <v>1</v>
      </c>
      <c r="G53">
        <v>0.15</v>
      </c>
      <c r="H53" t="s">
        <v>438</v>
      </c>
    </row>
    <row r="54" spans="1:8" x14ac:dyDescent="0.2">
      <c r="A54" s="6" t="s">
        <v>167</v>
      </c>
      <c r="B54" s="3" t="s">
        <v>347</v>
      </c>
      <c r="C54">
        <v>3</v>
      </c>
      <c r="D54">
        <v>51.8</v>
      </c>
      <c r="F54">
        <v>1</v>
      </c>
      <c r="G54">
        <v>0.64</v>
      </c>
      <c r="H54" t="s">
        <v>438</v>
      </c>
    </row>
    <row r="55" spans="1:8" x14ac:dyDescent="0.2">
      <c r="A55" s="6" t="s">
        <v>249</v>
      </c>
      <c r="B55" s="3" t="s">
        <v>348</v>
      </c>
      <c r="C55">
        <v>12</v>
      </c>
      <c r="D55">
        <v>47.1</v>
      </c>
      <c r="F55">
        <v>3</v>
      </c>
      <c r="G55">
        <v>0.13</v>
      </c>
    </row>
    <row r="56" spans="1:8" ht="64" x14ac:dyDescent="0.2">
      <c r="A56" s="3" t="s">
        <v>250</v>
      </c>
      <c r="B56" s="4" t="s">
        <v>349</v>
      </c>
      <c r="C56">
        <v>1</v>
      </c>
      <c r="D56">
        <v>98</v>
      </c>
      <c r="F56">
        <v>10</v>
      </c>
      <c r="G56">
        <v>0.14000000000000001</v>
      </c>
    </row>
    <row r="57" spans="1:8" x14ac:dyDescent="0.2">
      <c r="A57" s="6" t="s">
        <v>251</v>
      </c>
      <c r="B57" s="3" t="s">
        <v>350</v>
      </c>
      <c r="C57">
        <v>4</v>
      </c>
      <c r="D57">
        <v>75.7</v>
      </c>
      <c r="F57">
        <v>16</v>
      </c>
      <c r="G57">
        <v>0.5</v>
      </c>
    </row>
    <row r="58" spans="1:8" x14ac:dyDescent="0.2">
      <c r="A58" s="3" t="s">
        <v>175</v>
      </c>
      <c r="B58" s="3" t="s">
        <v>351</v>
      </c>
      <c r="C58" t="s">
        <v>439</v>
      </c>
      <c r="D58">
        <v>1.9</v>
      </c>
      <c r="F58" t="s">
        <v>439</v>
      </c>
      <c r="G58">
        <v>0.02</v>
      </c>
    </row>
    <row r="59" spans="1:8" ht="32" x14ac:dyDescent="0.2">
      <c r="A59" s="3" t="s">
        <v>176</v>
      </c>
      <c r="B59" s="4" t="s">
        <v>353</v>
      </c>
      <c r="C59">
        <v>2</v>
      </c>
      <c r="D59">
        <v>0.8</v>
      </c>
      <c r="F59">
        <v>1</v>
      </c>
      <c r="G59">
        <v>0.02</v>
      </c>
    </row>
    <row r="60" spans="1:8" x14ac:dyDescent="0.2">
      <c r="A60" s="3" t="s">
        <v>252</v>
      </c>
      <c r="B60" s="3" t="s">
        <v>354</v>
      </c>
      <c r="C60">
        <v>1</v>
      </c>
      <c r="D60">
        <v>1.8</v>
      </c>
      <c r="F60">
        <v>1</v>
      </c>
      <c r="G60">
        <v>0.02</v>
      </c>
    </row>
    <row r="61" spans="1:8" x14ac:dyDescent="0.2">
      <c r="A61" s="3" t="s">
        <v>45</v>
      </c>
      <c r="B61" s="3" t="s">
        <v>355</v>
      </c>
      <c r="C61">
        <v>1</v>
      </c>
      <c r="D61">
        <v>0.5</v>
      </c>
      <c r="F61">
        <v>1</v>
      </c>
      <c r="G61">
        <v>0.02</v>
      </c>
    </row>
    <row r="62" spans="1:8" x14ac:dyDescent="0.2">
      <c r="A62" s="3" t="s">
        <v>177</v>
      </c>
      <c r="B62" s="3" t="s">
        <v>352</v>
      </c>
      <c r="C62">
        <v>2</v>
      </c>
      <c r="D62">
        <v>0.7</v>
      </c>
      <c r="F62">
        <v>1</v>
      </c>
      <c r="G62">
        <v>0.02</v>
      </c>
    </row>
    <row r="63" spans="1:8" x14ac:dyDescent="0.2">
      <c r="A63" s="6" t="s">
        <v>297</v>
      </c>
      <c r="B63" s="3" t="s">
        <v>356</v>
      </c>
      <c r="C63">
        <v>4</v>
      </c>
      <c r="D63">
        <v>1</v>
      </c>
      <c r="F63">
        <v>1</v>
      </c>
      <c r="G63">
        <v>0.01</v>
      </c>
    </row>
    <row r="64" spans="1:8" x14ac:dyDescent="0.2">
      <c r="A64" s="3" t="s">
        <v>178</v>
      </c>
      <c r="B64" s="3" t="s">
        <v>357</v>
      </c>
      <c r="C64" t="s">
        <v>439</v>
      </c>
      <c r="D64">
        <v>4.2</v>
      </c>
      <c r="F64" t="s">
        <v>439</v>
      </c>
      <c r="G64">
        <v>0.02</v>
      </c>
    </row>
    <row r="65" spans="1:8" x14ac:dyDescent="0.2">
      <c r="A65" s="3" t="s">
        <v>179</v>
      </c>
      <c r="B65" s="3" t="s">
        <v>358</v>
      </c>
      <c r="C65">
        <v>1</v>
      </c>
      <c r="D65">
        <v>7.3</v>
      </c>
      <c r="F65">
        <v>1</v>
      </c>
      <c r="G65">
        <v>0.06</v>
      </c>
    </row>
    <row r="66" spans="1:8" x14ac:dyDescent="0.2">
      <c r="A66" s="3" t="s">
        <v>253</v>
      </c>
      <c r="B66" s="3" t="s">
        <v>359</v>
      </c>
      <c r="C66" t="s">
        <v>439</v>
      </c>
      <c r="D66">
        <v>0.2</v>
      </c>
      <c r="F66">
        <v>3</v>
      </c>
      <c r="G66">
        <v>0.06</v>
      </c>
    </row>
    <row r="67" spans="1:8" x14ac:dyDescent="0.2">
      <c r="A67" s="3" t="s">
        <v>190</v>
      </c>
      <c r="B67" s="3" t="s">
        <v>360</v>
      </c>
      <c r="C67">
        <v>1</v>
      </c>
      <c r="D67">
        <v>7.3</v>
      </c>
      <c r="F67">
        <v>1</v>
      </c>
      <c r="G67">
        <v>0.06</v>
      </c>
    </row>
    <row r="68" spans="1:8" ht="32" x14ac:dyDescent="0.2">
      <c r="A68" s="3" t="s">
        <v>298</v>
      </c>
      <c r="B68" s="4" t="s">
        <v>361</v>
      </c>
      <c r="C68">
        <v>1</v>
      </c>
      <c r="D68">
        <v>7.8</v>
      </c>
      <c r="F68">
        <v>2</v>
      </c>
      <c r="G68">
        <v>0.04</v>
      </c>
    </row>
    <row r="69" spans="1:8" x14ac:dyDescent="0.2">
      <c r="A69" s="3" t="s">
        <v>192</v>
      </c>
      <c r="B69" s="3" t="s">
        <v>362</v>
      </c>
      <c r="C69">
        <v>1</v>
      </c>
      <c r="D69">
        <v>7.4</v>
      </c>
      <c r="F69">
        <v>1</v>
      </c>
      <c r="G69">
        <v>0.04</v>
      </c>
    </row>
    <row r="70" spans="1:8" x14ac:dyDescent="0.2">
      <c r="A70" s="3" t="s">
        <v>254</v>
      </c>
      <c r="B70" s="3" t="s">
        <v>363</v>
      </c>
      <c r="C70">
        <v>3</v>
      </c>
      <c r="D70">
        <v>14.9</v>
      </c>
      <c r="F70">
        <v>1</v>
      </c>
      <c r="G70">
        <v>0.06</v>
      </c>
    </row>
    <row r="71" spans="1:8" x14ac:dyDescent="0.2">
      <c r="A71" s="6" t="s">
        <v>255</v>
      </c>
      <c r="B71" s="3" t="s">
        <v>364</v>
      </c>
      <c r="C71">
        <v>1</v>
      </c>
      <c r="D71">
        <v>13.2</v>
      </c>
      <c r="F71" t="s">
        <v>439</v>
      </c>
      <c r="G71">
        <v>0.03</v>
      </c>
    </row>
    <row r="72" spans="1:8" x14ac:dyDescent="0.2">
      <c r="A72" s="3" t="s">
        <v>70</v>
      </c>
      <c r="B72" s="3" t="s">
        <v>365</v>
      </c>
      <c r="C72">
        <v>1</v>
      </c>
      <c r="D72">
        <v>8.3000000000000007</v>
      </c>
      <c r="F72">
        <v>1</v>
      </c>
      <c r="G72">
        <v>7.0000000000000007E-2</v>
      </c>
    </row>
    <row r="73" spans="1:8" x14ac:dyDescent="0.2">
      <c r="A73" s="3" t="s">
        <v>256</v>
      </c>
      <c r="B73" s="3" t="s">
        <v>367</v>
      </c>
      <c r="C73">
        <v>1</v>
      </c>
      <c r="D73">
        <v>9.1999999999999993</v>
      </c>
      <c r="F73">
        <v>1</v>
      </c>
      <c r="G73">
        <v>0.08</v>
      </c>
    </row>
    <row r="74" spans="1:8" x14ac:dyDescent="0.2">
      <c r="A74" s="3" t="s">
        <v>194</v>
      </c>
      <c r="B74" s="3" t="s">
        <v>368</v>
      </c>
      <c r="C74">
        <v>3</v>
      </c>
      <c r="D74">
        <v>9.3000000000000007</v>
      </c>
      <c r="F74">
        <v>1</v>
      </c>
      <c r="G74">
        <v>7.0000000000000007E-2</v>
      </c>
    </row>
    <row r="75" spans="1:8" ht="32" x14ac:dyDescent="0.2">
      <c r="A75" s="3" t="s">
        <v>195</v>
      </c>
      <c r="B75" s="4" t="s">
        <v>370</v>
      </c>
      <c r="C75">
        <v>1</v>
      </c>
      <c r="D75">
        <v>7.4</v>
      </c>
      <c r="F75">
        <v>1</v>
      </c>
      <c r="G75">
        <v>0.1</v>
      </c>
      <c r="H75" t="s">
        <v>438</v>
      </c>
    </row>
    <row r="76" spans="1:8" x14ac:dyDescent="0.2">
      <c r="A76" s="3" t="s">
        <v>258</v>
      </c>
      <c r="B76" s="3" t="s">
        <v>371</v>
      </c>
      <c r="C76">
        <v>1</v>
      </c>
      <c r="D76">
        <v>7.1</v>
      </c>
      <c r="F76">
        <v>1</v>
      </c>
      <c r="G76">
        <v>0.06</v>
      </c>
    </row>
    <row r="77" spans="1:8" x14ac:dyDescent="0.2">
      <c r="A77" s="3" t="s">
        <v>196</v>
      </c>
      <c r="B77" s="3" t="s">
        <v>372</v>
      </c>
      <c r="C77">
        <v>3</v>
      </c>
      <c r="D77">
        <v>9.8000000000000007</v>
      </c>
      <c r="F77">
        <v>1</v>
      </c>
      <c r="G77">
        <v>0.08</v>
      </c>
    </row>
    <row r="78" spans="1:8" x14ac:dyDescent="0.2">
      <c r="A78" s="3" t="s">
        <v>197</v>
      </c>
      <c r="B78" s="3" t="s">
        <v>373</v>
      </c>
      <c r="C78">
        <v>2</v>
      </c>
      <c r="D78">
        <v>10.8</v>
      </c>
      <c r="F78">
        <v>1</v>
      </c>
      <c r="G78">
        <v>0.05</v>
      </c>
    </row>
    <row r="79" spans="1:8" ht="48" x14ac:dyDescent="0.2">
      <c r="A79" s="3" t="s">
        <v>180</v>
      </c>
      <c r="B79" s="4" t="s">
        <v>374</v>
      </c>
      <c r="C79">
        <v>1</v>
      </c>
      <c r="D79">
        <v>6</v>
      </c>
      <c r="F79">
        <v>1</v>
      </c>
      <c r="G79">
        <v>0.21</v>
      </c>
      <c r="H79" t="s">
        <v>438</v>
      </c>
    </row>
    <row r="80" spans="1:8" x14ac:dyDescent="0.2">
      <c r="A80" s="3" t="s">
        <v>181</v>
      </c>
      <c r="B80" s="3" t="s">
        <v>375</v>
      </c>
      <c r="C80">
        <v>3</v>
      </c>
      <c r="D80">
        <v>8.9</v>
      </c>
      <c r="F80">
        <v>1</v>
      </c>
      <c r="G80">
        <v>7.0000000000000007E-2</v>
      </c>
    </row>
    <row r="81" spans="1:8" x14ac:dyDescent="0.2">
      <c r="A81" s="3" t="s">
        <v>182</v>
      </c>
      <c r="B81" s="3" t="s">
        <v>376</v>
      </c>
      <c r="C81">
        <v>1</v>
      </c>
      <c r="D81">
        <v>7.3</v>
      </c>
      <c r="F81">
        <v>1</v>
      </c>
      <c r="G81">
        <v>0.05</v>
      </c>
    </row>
    <row r="82" spans="1:8" x14ac:dyDescent="0.2">
      <c r="A82" s="3" t="s">
        <v>183</v>
      </c>
      <c r="B82" s="3" t="s">
        <v>377</v>
      </c>
      <c r="C82">
        <v>1</v>
      </c>
      <c r="D82">
        <v>11.6</v>
      </c>
      <c r="F82">
        <v>1</v>
      </c>
      <c r="G82">
        <v>0.03</v>
      </c>
    </row>
    <row r="83" spans="1:8" ht="32" x14ac:dyDescent="0.2">
      <c r="A83" s="3" t="s">
        <v>184</v>
      </c>
      <c r="B83" s="4" t="s">
        <v>378</v>
      </c>
      <c r="C83">
        <v>1</v>
      </c>
      <c r="D83">
        <v>7.4</v>
      </c>
      <c r="F83">
        <v>1</v>
      </c>
      <c r="G83">
        <v>0.09</v>
      </c>
      <c r="H83" t="s">
        <v>438</v>
      </c>
    </row>
    <row r="84" spans="1:8" x14ac:dyDescent="0.2">
      <c r="A84" s="3" t="s">
        <v>259</v>
      </c>
      <c r="B84" s="3" t="s">
        <v>358</v>
      </c>
      <c r="C84">
        <v>1</v>
      </c>
      <c r="D84">
        <v>7.3</v>
      </c>
      <c r="F84">
        <v>1</v>
      </c>
      <c r="G84">
        <v>0.05</v>
      </c>
    </row>
    <row r="85" spans="1:8" x14ac:dyDescent="0.2">
      <c r="A85" s="3" t="s">
        <v>185</v>
      </c>
      <c r="B85" s="3" t="s">
        <v>375</v>
      </c>
      <c r="C85">
        <v>3</v>
      </c>
      <c r="D85">
        <v>13.6</v>
      </c>
      <c r="F85">
        <v>1</v>
      </c>
      <c r="G85">
        <v>7.0000000000000007E-2</v>
      </c>
    </row>
    <row r="86" spans="1:8" x14ac:dyDescent="0.2">
      <c r="A86" s="3" t="s">
        <v>186</v>
      </c>
      <c r="B86" s="3" t="s">
        <v>380</v>
      </c>
      <c r="C86">
        <v>1</v>
      </c>
      <c r="D86">
        <v>7.4</v>
      </c>
      <c r="F86">
        <v>1</v>
      </c>
      <c r="G86">
        <v>0.05</v>
      </c>
    </row>
    <row r="87" spans="1:8" x14ac:dyDescent="0.2">
      <c r="A87" s="3" t="s">
        <v>187</v>
      </c>
      <c r="B87" s="3" t="s">
        <v>381</v>
      </c>
      <c r="C87">
        <v>1</v>
      </c>
      <c r="D87">
        <v>6.8</v>
      </c>
      <c r="F87">
        <v>1</v>
      </c>
      <c r="G87">
        <v>0.09</v>
      </c>
      <c r="H87" t="s">
        <v>438</v>
      </c>
    </row>
    <row r="88" spans="1:8" x14ac:dyDescent="0.2">
      <c r="A88" s="3" t="s">
        <v>261</v>
      </c>
      <c r="B88" s="3" t="s">
        <v>358</v>
      </c>
      <c r="C88">
        <v>1</v>
      </c>
      <c r="D88">
        <v>7.3</v>
      </c>
      <c r="F88">
        <v>1</v>
      </c>
      <c r="G88">
        <v>0.05</v>
      </c>
    </row>
    <row r="89" spans="1:8" ht="32" x14ac:dyDescent="0.2">
      <c r="A89" s="3" t="s">
        <v>262</v>
      </c>
      <c r="B89" s="4" t="s">
        <v>382</v>
      </c>
      <c r="C89">
        <v>1</v>
      </c>
      <c r="D89">
        <v>7.8</v>
      </c>
      <c r="F89">
        <v>2</v>
      </c>
      <c r="G89">
        <v>0.03</v>
      </c>
    </row>
    <row r="90" spans="1:8" x14ac:dyDescent="0.2">
      <c r="A90" s="3" t="s">
        <v>188</v>
      </c>
      <c r="B90" s="3" t="s">
        <v>383</v>
      </c>
      <c r="C90">
        <v>3</v>
      </c>
      <c r="D90">
        <v>14.2</v>
      </c>
      <c r="F90">
        <v>1</v>
      </c>
      <c r="G90">
        <v>0.03</v>
      </c>
    </row>
    <row r="91" spans="1:8" x14ac:dyDescent="0.2">
      <c r="A91" s="3" t="s">
        <v>263</v>
      </c>
      <c r="B91" s="3" t="s">
        <v>384</v>
      </c>
      <c r="C91">
        <v>3</v>
      </c>
      <c r="D91">
        <v>103.8</v>
      </c>
      <c r="F91">
        <v>1</v>
      </c>
      <c r="G91">
        <v>0.09</v>
      </c>
    </row>
    <row r="92" spans="1:8" x14ac:dyDescent="0.2">
      <c r="A92" s="3" t="s">
        <v>264</v>
      </c>
      <c r="B92" s="3" t="s">
        <v>385</v>
      </c>
      <c r="C92">
        <v>1</v>
      </c>
      <c r="D92">
        <v>44.2</v>
      </c>
      <c r="F92">
        <v>3</v>
      </c>
      <c r="G92">
        <v>0.55000000000000004</v>
      </c>
    </row>
    <row r="93" spans="1:8" x14ac:dyDescent="0.2">
      <c r="A93" s="3" t="s">
        <v>265</v>
      </c>
      <c r="B93" s="3" t="s">
        <v>386</v>
      </c>
      <c r="C93">
        <v>1</v>
      </c>
      <c r="D93">
        <v>29.5</v>
      </c>
      <c r="F93">
        <v>2</v>
      </c>
      <c r="G93">
        <v>0.04</v>
      </c>
    </row>
    <row r="94" spans="1:8" ht="64" x14ac:dyDescent="0.2">
      <c r="A94" s="3" t="s">
        <v>189</v>
      </c>
      <c r="B94" s="4" t="s">
        <v>387</v>
      </c>
      <c r="C94">
        <v>1</v>
      </c>
      <c r="D94">
        <v>7.7</v>
      </c>
      <c r="F94">
        <v>2</v>
      </c>
      <c r="G94">
        <v>0.1</v>
      </c>
    </row>
    <row r="95" spans="1:8" x14ac:dyDescent="0.2">
      <c r="A95" s="3" t="s">
        <v>191</v>
      </c>
      <c r="B95" s="3" t="s">
        <v>388</v>
      </c>
      <c r="C95">
        <v>4</v>
      </c>
      <c r="D95">
        <v>8.3000000000000007</v>
      </c>
      <c r="F95">
        <v>1</v>
      </c>
      <c r="G95">
        <v>0.03</v>
      </c>
    </row>
    <row r="96" spans="1:8" ht="48" x14ac:dyDescent="0.2">
      <c r="A96" s="3" t="s">
        <v>266</v>
      </c>
      <c r="B96" s="4" t="s">
        <v>389</v>
      </c>
      <c r="C96">
        <v>1</v>
      </c>
      <c r="D96">
        <v>8.3000000000000007</v>
      </c>
      <c r="F96">
        <v>2</v>
      </c>
      <c r="G96">
        <v>0.09</v>
      </c>
    </row>
    <row r="97" spans="1:8" ht="32" x14ac:dyDescent="0.2">
      <c r="A97" s="3" t="s">
        <v>267</v>
      </c>
      <c r="B97" s="4" t="s">
        <v>392</v>
      </c>
      <c r="C97">
        <v>1</v>
      </c>
      <c r="D97">
        <v>7.6</v>
      </c>
      <c r="F97">
        <v>2</v>
      </c>
      <c r="G97">
        <v>0.03</v>
      </c>
    </row>
    <row r="98" spans="1:8" x14ac:dyDescent="0.2">
      <c r="A98" s="8" t="s">
        <v>198</v>
      </c>
      <c r="B98" s="3" t="s">
        <v>390</v>
      </c>
      <c r="C98">
        <v>1</v>
      </c>
      <c r="D98">
        <v>1.6</v>
      </c>
      <c r="F98">
        <v>1</v>
      </c>
      <c r="G98">
        <v>0.02</v>
      </c>
      <c r="H98" t="s">
        <v>438</v>
      </c>
    </row>
    <row r="99" spans="1:8" ht="32" x14ac:dyDescent="0.2">
      <c r="A99" s="3" t="s">
        <v>268</v>
      </c>
      <c r="B99" s="4" t="s">
        <v>391</v>
      </c>
      <c r="C99">
        <v>1</v>
      </c>
      <c r="D99">
        <v>2.9</v>
      </c>
      <c r="F99">
        <v>1</v>
      </c>
      <c r="G99">
        <v>0.04</v>
      </c>
    </row>
    <row r="100" spans="1:8" x14ac:dyDescent="0.2">
      <c r="A100" s="3" t="s">
        <v>76</v>
      </c>
      <c r="B100" s="3" t="s">
        <v>393</v>
      </c>
      <c r="C100">
        <v>1</v>
      </c>
      <c r="D100">
        <v>2.8</v>
      </c>
      <c r="F100">
        <v>4</v>
      </c>
      <c r="G100">
        <v>0.04</v>
      </c>
    </row>
    <row r="101" spans="1:8" x14ac:dyDescent="0.2">
      <c r="A101" s="9" t="s">
        <v>199</v>
      </c>
      <c r="B101" s="3" t="s">
        <v>394</v>
      </c>
      <c r="C101">
        <v>1</v>
      </c>
      <c r="D101">
        <v>2.7</v>
      </c>
      <c r="F101">
        <v>1</v>
      </c>
      <c r="G101">
        <v>0.66</v>
      </c>
      <c r="H101" t="s">
        <v>438</v>
      </c>
    </row>
    <row r="102" spans="1:8" x14ac:dyDescent="0.2">
      <c r="A102" s="9" t="s">
        <v>200</v>
      </c>
      <c r="B102" s="3" t="s">
        <v>395</v>
      </c>
      <c r="C102">
        <v>3</v>
      </c>
      <c r="D102">
        <v>4.7</v>
      </c>
      <c r="F102">
        <v>3</v>
      </c>
      <c r="G102">
        <v>0.02</v>
      </c>
    </row>
    <row r="103" spans="1:8" x14ac:dyDescent="0.2">
      <c r="A103" s="3" t="s">
        <v>271</v>
      </c>
      <c r="B103" s="3" t="s">
        <v>399</v>
      </c>
      <c r="C103">
        <v>9</v>
      </c>
      <c r="D103">
        <v>2.1</v>
      </c>
      <c r="F103">
        <v>3</v>
      </c>
      <c r="G103">
        <v>0.02</v>
      </c>
    </row>
    <row r="104" spans="1:8" x14ac:dyDescent="0.2">
      <c r="A104" s="3" t="s">
        <v>202</v>
      </c>
      <c r="B104" s="3" t="s">
        <v>400</v>
      </c>
      <c r="C104">
        <v>16</v>
      </c>
      <c r="D104">
        <v>3</v>
      </c>
      <c r="F104">
        <v>2</v>
      </c>
      <c r="G104">
        <v>0.03</v>
      </c>
    </row>
    <row r="105" spans="1:8" x14ac:dyDescent="0.2">
      <c r="A105" s="3" t="s">
        <v>203</v>
      </c>
      <c r="B105" s="3" t="s">
        <v>401</v>
      </c>
      <c r="C105">
        <v>13</v>
      </c>
      <c r="D105">
        <v>2.6</v>
      </c>
      <c r="F105">
        <v>6</v>
      </c>
      <c r="G105">
        <v>0.06</v>
      </c>
    </row>
    <row r="106" spans="1:8" x14ac:dyDescent="0.2">
      <c r="A106" s="3" t="s">
        <v>272</v>
      </c>
      <c r="B106" s="3" t="s">
        <v>402</v>
      </c>
      <c r="C106">
        <v>9</v>
      </c>
      <c r="D106">
        <v>2.6</v>
      </c>
      <c r="F106">
        <v>1</v>
      </c>
      <c r="G106">
        <v>0.03</v>
      </c>
    </row>
    <row r="107" spans="1:8" x14ac:dyDescent="0.2">
      <c r="A107" s="3" t="s">
        <v>204</v>
      </c>
      <c r="B107" s="3" t="s">
        <v>403</v>
      </c>
      <c r="C107">
        <v>14</v>
      </c>
      <c r="D107">
        <v>2.7</v>
      </c>
      <c r="F107">
        <v>4</v>
      </c>
      <c r="G107">
        <v>0.05</v>
      </c>
    </row>
    <row r="108" spans="1:8" x14ac:dyDescent="0.2">
      <c r="A108" s="3" t="s">
        <v>205</v>
      </c>
      <c r="B108" s="3" t="s">
        <v>404</v>
      </c>
      <c r="C108">
        <v>1</v>
      </c>
      <c r="D108">
        <v>2.9</v>
      </c>
      <c r="F108">
        <v>1</v>
      </c>
      <c r="G108">
        <v>0.53</v>
      </c>
      <c r="H108" t="s">
        <v>438</v>
      </c>
    </row>
    <row r="109" spans="1:8" x14ac:dyDescent="0.2">
      <c r="A109" s="3" t="s">
        <v>273</v>
      </c>
      <c r="B109" s="3" t="s">
        <v>405</v>
      </c>
      <c r="C109">
        <v>1</v>
      </c>
      <c r="D109">
        <v>3.1</v>
      </c>
      <c r="F109">
        <v>5</v>
      </c>
      <c r="G109">
        <v>0.05</v>
      </c>
    </row>
    <row r="110" spans="1:8" x14ac:dyDescent="0.2">
      <c r="A110" s="3" t="s">
        <v>274</v>
      </c>
      <c r="B110" s="3" t="s">
        <v>406</v>
      </c>
      <c r="C110">
        <v>1</v>
      </c>
      <c r="D110">
        <v>2.9</v>
      </c>
      <c r="F110">
        <v>2</v>
      </c>
      <c r="G110">
        <v>0.06</v>
      </c>
    </row>
    <row r="111" spans="1:8" x14ac:dyDescent="0.2">
      <c r="A111" s="9" t="s">
        <v>275</v>
      </c>
      <c r="B111" s="3" t="s">
        <v>407</v>
      </c>
      <c r="C111">
        <v>1</v>
      </c>
      <c r="D111">
        <v>1.8</v>
      </c>
      <c r="F111">
        <v>1</v>
      </c>
      <c r="G111">
        <v>0.05</v>
      </c>
      <c r="H111" t="s">
        <v>438</v>
      </c>
    </row>
    <row r="112" spans="1:8" x14ac:dyDescent="0.2">
      <c r="A112" s="9" t="s">
        <v>276</v>
      </c>
      <c r="B112" s="3" t="s">
        <v>408</v>
      </c>
      <c r="C112">
        <v>1</v>
      </c>
      <c r="D112">
        <v>1.5</v>
      </c>
      <c r="F112">
        <v>1</v>
      </c>
      <c r="G112">
        <v>0.06</v>
      </c>
    </row>
    <row r="113" spans="1:7" ht="80" x14ac:dyDescent="0.2">
      <c r="A113" s="6" t="s">
        <v>206</v>
      </c>
      <c r="B113" s="4" t="s">
        <v>409</v>
      </c>
      <c r="C113">
        <v>1</v>
      </c>
      <c r="D113">
        <v>4.0999999999999996</v>
      </c>
      <c r="F113">
        <v>1</v>
      </c>
      <c r="G113">
        <v>0.04</v>
      </c>
    </row>
    <row r="114" spans="1:7" x14ac:dyDescent="0.2">
      <c r="A114" s="3" t="s">
        <v>207</v>
      </c>
      <c r="B114" s="3" t="s">
        <v>410</v>
      </c>
      <c r="C114">
        <v>11</v>
      </c>
      <c r="D114">
        <v>1.4</v>
      </c>
      <c r="F114" t="s">
        <v>439</v>
      </c>
      <c r="G114">
        <v>0.01</v>
      </c>
    </row>
    <row r="115" spans="1:7" x14ac:dyDescent="0.2">
      <c r="A115" s="3" t="s">
        <v>208</v>
      </c>
      <c r="B115" s="3" t="s">
        <v>411</v>
      </c>
      <c r="C115">
        <v>3</v>
      </c>
      <c r="D115">
        <v>25.7</v>
      </c>
      <c r="F115">
        <v>1</v>
      </c>
      <c r="G115">
        <v>0.08</v>
      </c>
    </row>
    <row r="116" spans="1:7" x14ac:dyDescent="0.2">
      <c r="A116" s="3" t="s">
        <v>219</v>
      </c>
      <c r="B116" s="3" t="s">
        <v>411</v>
      </c>
      <c r="C116">
        <v>3</v>
      </c>
      <c r="D116">
        <v>26.5</v>
      </c>
      <c r="F116">
        <v>1</v>
      </c>
      <c r="G116">
        <v>0.06</v>
      </c>
    </row>
    <row r="117" spans="1:7" x14ac:dyDescent="0.2">
      <c r="A117" s="9" t="s">
        <v>277</v>
      </c>
      <c r="B117" s="3" t="s">
        <v>412</v>
      </c>
      <c r="C117">
        <v>2</v>
      </c>
      <c r="D117">
        <v>46.9</v>
      </c>
      <c r="F117">
        <v>3</v>
      </c>
      <c r="G117">
        <v>0.14000000000000001</v>
      </c>
    </row>
    <row r="118" spans="1:7" ht="64" x14ac:dyDescent="0.2">
      <c r="A118" s="3" t="s">
        <v>220</v>
      </c>
      <c r="B118" s="4" t="s">
        <v>413</v>
      </c>
      <c r="C118">
        <v>1</v>
      </c>
      <c r="D118">
        <v>81.099999999999994</v>
      </c>
      <c r="F118">
        <v>1</v>
      </c>
      <c r="G118">
        <v>0.04</v>
      </c>
    </row>
    <row r="119" spans="1:7" x14ac:dyDescent="0.2">
      <c r="A119" s="3" t="s">
        <v>278</v>
      </c>
      <c r="B119" s="3" t="s">
        <v>414</v>
      </c>
      <c r="C119">
        <v>1</v>
      </c>
      <c r="D119">
        <v>65.400000000000006</v>
      </c>
      <c r="F119">
        <v>1</v>
      </c>
      <c r="G119">
        <v>0.23</v>
      </c>
    </row>
    <row r="120" spans="1:7" x14ac:dyDescent="0.2">
      <c r="A120" s="3" t="s">
        <v>221</v>
      </c>
      <c r="B120" s="3" t="s">
        <v>415</v>
      </c>
      <c r="C120">
        <v>3</v>
      </c>
      <c r="D120">
        <v>25.8</v>
      </c>
      <c r="F120">
        <v>1</v>
      </c>
      <c r="G120">
        <v>0.05</v>
      </c>
    </row>
    <row r="121" spans="1:7" x14ac:dyDescent="0.2">
      <c r="A121" s="3" t="s">
        <v>222</v>
      </c>
      <c r="B121" s="3" t="s">
        <v>411</v>
      </c>
      <c r="C121">
        <v>3</v>
      </c>
      <c r="D121">
        <v>26.5</v>
      </c>
      <c r="F121">
        <v>1</v>
      </c>
      <c r="G121">
        <v>0.56000000000000005</v>
      </c>
    </row>
    <row r="122" spans="1:7" x14ac:dyDescent="0.2">
      <c r="A122" s="9" t="s">
        <v>223</v>
      </c>
      <c r="B122" s="3" t="s">
        <v>416</v>
      </c>
      <c r="C122">
        <v>1</v>
      </c>
      <c r="D122">
        <v>30.2</v>
      </c>
      <c r="F122">
        <v>1</v>
      </c>
      <c r="G122">
        <v>0.66</v>
      </c>
    </row>
    <row r="123" spans="1:7" x14ac:dyDescent="0.2">
      <c r="A123" s="9" t="s">
        <v>279</v>
      </c>
      <c r="B123" s="3" t="s">
        <v>417</v>
      </c>
      <c r="C123">
        <v>1</v>
      </c>
      <c r="D123">
        <v>31.7</v>
      </c>
      <c r="F123">
        <v>1</v>
      </c>
      <c r="G123">
        <v>0.52</v>
      </c>
    </row>
    <row r="124" spans="1:7" ht="64" x14ac:dyDescent="0.2">
      <c r="A124" s="6" t="s">
        <v>280</v>
      </c>
      <c r="B124" s="4" t="s">
        <v>418</v>
      </c>
      <c r="C124">
        <v>1</v>
      </c>
      <c r="D124">
        <v>29.1</v>
      </c>
      <c r="F124">
        <v>1</v>
      </c>
      <c r="G124">
        <v>0.05</v>
      </c>
    </row>
    <row r="125" spans="1:7" x14ac:dyDescent="0.2">
      <c r="A125" s="3" t="s">
        <v>281</v>
      </c>
      <c r="B125" s="3" t="s">
        <v>419</v>
      </c>
      <c r="C125">
        <v>3</v>
      </c>
      <c r="D125">
        <v>31.2</v>
      </c>
      <c r="F125">
        <v>1</v>
      </c>
      <c r="G125">
        <v>7.0000000000000007E-2</v>
      </c>
    </row>
    <row r="126" spans="1:7" ht="64" x14ac:dyDescent="0.2">
      <c r="A126" s="6" t="s">
        <v>224</v>
      </c>
      <c r="B126" s="4" t="s">
        <v>420</v>
      </c>
      <c r="C126">
        <v>1</v>
      </c>
      <c r="D126">
        <v>58.7</v>
      </c>
      <c r="F126">
        <v>1</v>
      </c>
      <c r="G126">
        <v>0.05</v>
      </c>
    </row>
    <row r="127" spans="1:7" x14ac:dyDescent="0.2">
      <c r="A127" s="3" t="s">
        <v>282</v>
      </c>
      <c r="B127" s="3" t="s">
        <v>421</v>
      </c>
      <c r="C127">
        <v>1</v>
      </c>
      <c r="D127">
        <v>34.1</v>
      </c>
      <c r="F127">
        <v>1</v>
      </c>
      <c r="G127">
        <v>0.08</v>
      </c>
    </row>
    <row r="128" spans="1:7" x14ac:dyDescent="0.2">
      <c r="A128" s="3" t="s">
        <v>225</v>
      </c>
      <c r="B128" s="3" t="s">
        <v>421</v>
      </c>
      <c r="C128">
        <v>1</v>
      </c>
      <c r="D128">
        <v>35</v>
      </c>
      <c r="F128">
        <v>1</v>
      </c>
      <c r="G128">
        <v>0.08</v>
      </c>
    </row>
    <row r="129" spans="1:7" ht="32" x14ac:dyDescent="0.2">
      <c r="A129" s="9" t="s">
        <v>226</v>
      </c>
      <c r="B129" s="4" t="s">
        <v>422</v>
      </c>
      <c r="C129">
        <v>1</v>
      </c>
      <c r="D129">
        <v>47.4</v>
      </c>
      <c r="F129">
        <v>13</v>
      </c>
      <c r="G129">
        <v>0.12</v>
      </c>
    </row>
    <row r="130" spans="1:7" x14ac:dyDescent="0.2">
      <c r="A130" s="3" t="s">
        <v>209</v>
      </c>
      <c r="B130" s="3" t="s">
        <v>411</v>
      </c>
      <c r="C130">
        <v>3</v>
      </c>
      <c r="D130">
        <v>31.2</v>
      </c>
      <c r="F130">
        <v>1</v>
      </c>
      <c r="G130">
        <v>0.08</v>
      </c>
    </row>
    <row r="131" spans="1:7" x14ac:dyDescent="0.2">
      <c r="A131" s="3" t="s">
        <v>210</v>
      </c>
      <c r="B131" s="3" t="s">
        <v>411</v>
      </c>
      <c r="C131">
        <v>4</v>
      </c>
      <c r="D131">
        <v>33.5</v>
      </c>
      <c r="F131">
        <v>2</v>
      </c>
      <c r="G131">
        <v>0.09</v>
      </c>
    </row>
    <row r="132" spans="1:7" x14ac:dyDescent="0.2">
      <c r="A132" s="3" t="s">
        <v>211</v>
      </c>
      <c r="B132" s="3" t="s">
        <v>423</v>
      </c>
      <c r="C132">
        <v>3</v>
      </c>
      <c r="D132">
        <v>70.2</v>
      </c>
      <c r="F132">
        <v>1</v>
      </c>
      <c r="G132">
        <v>0.09</v>
      </c>
    </row>
    <row r="133" spans="1:7" ht="48" x14ac:dyDescent="0.2">
      <c r="A133" s="9" t="s">
        <v>283</v>
      </c>
      <c r="B133" s="4" t="s">
        <v>424</v>
      </c>
      <c r="C133">
        <v>1</v>
      </c>
      <c r="D133">
        <v>53.5</v>
      </c>
      <c r="F133">
        <v>12</v>
      </c>
      <c r="G133">
        <v>0.35</v>
      </c>
    </row>
    <row r="134" spans="1:7" ht="32" x14ac:dyDescent="0.2">
      <c r="A134" s="3" t="s">
        <v>212</v>
      </c>
      <c r="B134" s="4" t="s">
        <v>425</v>
      </c>
      <c r="C134">
        <v>1</v>
      </c>
      <c r="D134">
        <v>67.8</v>
      </c>
      <c r="F134">
        <v>3</v>
      </c>
      <c r="G134">
        <v>0.06</v>
      </c>
    </row>
    <row r="135" spans="1:7" x14ac:dyDescent="0.2">
      <c r="A135" s="9" t="s">
        <v>213</v>
      </c>
      <c r="B135" s="3" t="s">
        <v>416</v>
      </c>
      <c r="C135">
        <v>1</v>
      </c>
      <c r="D135">
        <v>31.3</v>
      </c>
      <c r="F135">
        <v>1</v>
      </c>
      <c r="G135">
        <v>0.51</v>
      </c>
    </row>
    <row r="136" spans="1:7" x14ac:dyDescent="0.2">
      <c r="A136" s="9" t="s">
        <v>284</v>
      </c>
      <c r="B136" s="3" t="s">
        <v>417</v>
      </c>
      <c r="C136">
        <v>1</v>
      </c>
      <c r="D136">
        <v>32</v>
      </c>
      <c r="F136">
        <v>1</v>
      </c>
      <c r="G136">
        <v>0.54</v>
      </c>
    </row>
    <row r="137" spans="1:7" ht="32" x14ac:dyDescent="0.2">
      <c r="A137" s="3" t="s">
        <v>285</v>
      </c>
      <c r="B137" s="4" t="s">
        <v>426</v>
      </c>
      <c r="C137">
        <v>1</v>
      </c>
      <c r="D137">
        <v>30.6</v>
      </c>
      <c r="F137">
        <v>1</v>
      </c>
      <c r="G137">
        <v>0.03</v>
      </c>
    </row>
    <row r="138" spans="1:7" x14ac:dyDescent="0.2">
      <c r="A138" s="3" t="s">
        <v>286</v>
      </c>
      <c r="B138" s="3" t="s">
        <v>411</v>
      </c>
      <c r="C138">
        <v>3</v>
      </c>
      <c r="D138">
        <v>31.6</v>
      </c>
      <c r="F138">
        <v>1</v>
      </c>
      <c r="G138">
        <v>7.0000000000000007E-2</v>
      </c>
    </row>
    <row r="139" spans="1:7" x14ac:dyDescent="0.2">
      <c r="A139" s="3" t="s">
        <v>214</v>
      </c>
      <c r="B139" s="3" t="s">
        <v>419</v>
      </c>
      <c r="C139">
        <v>3</v>
      </c>
      <c r="D139">
        <v>35.5</v>
      </c>
      <c r="F139">
        <v>5</v>
      </c>
      <c r="G139">
        <v>7.0000000000000007E-2</v>
      </c>
    </row>
    <row r="140" spans="1:7" ht="64" x14ac:dyDescent="0.2">
      <c r="A140" s="6" t="s">
        <v>215</v>
      </c>
      <c r="B140" s="4" t="s">
        <v>427</v>
      </c>
      <c r="C140">
        <v>1</v>
      </c>
      <c r="D140">
        <v>53.1</v>
      </c>
      <c r="F140" t="s">
        <v>439</v>
      </c>
      <c r="G140">
        <v>0.03</v>
      </c>
    </row>
    <row r="141" spans="1:7" ht="64" x14ac:dyDescent="0.2">
      <c r="A141" s="6" t="s">
        <v>287</v>
      </c>
      <c r="B141" s="4" t="s">
        <v>428</v>
      </c>
      <c r="C141">
        <v>1</v>
      </c>
      <c r="D141">
        <v>16.3</v>
      </c>
      <c r="F141" t="s">
        <v>439</v>
      </c>
      <c r="G141">
        <v>0.04</v>
      </c>
    </row>
    <row r="142" spans="1:7" ht="64" x14ac:dyDescent="0.2">
      <c r="A142" s="6" t="s">
        <v>288</v>
      </c>
      <c r="B142" s="4" t="s">
        <v>429</v>
      </c>
      <c r="C142">
        <v>1</v>
      </c>
      <c r="D142">
        <v>16.899999999999999</v>
      </c>
      <c r="F142" t="s">
        <v>439</v>
      </c>
      <c r="G142">
        <v>0.28000000000000003</v>
      </c>
    </row>
    <row r="143" spans="1:7" ht="80" x14ac:dyDescent="0.2">
      <c r="A143" s="6" t="s">
        <v>289</v>
      </c>
      <c r="B143" s="4" t="s">
        <v>430</v>
      </c>
      <c r="C143">
        <v>1</v>
      </c>
      <c r="D143">
        <v>40.6</v>
      </c>
      <c r="F143" t="s">
        <v>439</v>
      </c>
      <c r="G143">
        <v>0.15</v>
      </c>
    </row>
    <row r="144" spans="1:7" ht="64" x14ac:dyDescent="0.2">
      <c r="A144" s="6" t="s">
        <v>216</v>
      </c>
      <c r="B144" s="4" t="s">
        <v>431</v>
      </c>
      <c r="C144">
        <v>1</v>
      </c>
      <c r="D144">
        <v>29.5</v>
      </c>
      <c r="F144">
        <v>1</v>
      </c>
      <c r="G144">
        <v>0.04</v>
      </c>
    </row>
    <row r="145" spans="1:7" x14ac:dyDescent="0.2">
      <c r="A145" s="3" t="s">
        <v>290</v>
      </c>
      <c r="B145" s="3" t="s">
        <v>411</v>
      </c>
      <c r="C145">
        <v>3</v>
      </c>
      <c r="D145">
        <v>32.200000000000003</v>
      </c>
      <c r="F145">
        <v>1</v>
      </c>
      <c r="G145">
        <v>0.08</v>
      </c>
    </row>
    <row r="146" spans="1:7" ht="32" x14ac:dyDescent="0.2">
      <c r="A146" s="3" t="s">
        <v>217</v>
      </c>
      <c r="B146" s="4" t="s">
        <v>432</v>
      </c>
      <c r="C146" t="s">
        <v>439</v>
      </c>
      <c r="D146">
        <v>0.4</v>
      </c>
      <c r="F146">
        <v>3</v>
      </c>
      <c r="G146">
        <v>0.04</v>
      </c>
    </row>
    <row r="147" spans="1:7" x14ac:dyDescent="0.2">
      <c r="A147" s="3" t="s">
        <v>291</v>
      </c>
      <c r="B147" s="3" t="s">
        <v>433</v>
      </c>
      <c r="C147">
        <v>3</v>
      </c>
      <c r="D147">
        <v>30.9</v>
      </c>
      <c r="F147">
        <v>1</v>
      </c>
      <c r="G147">
        <v>0.08</v>
      </c>
    </row>
    <row r="148" spans="1:7" ht="32" x14ac:dyDescent="0.2">
      <c r="A148" s="3" t="s">
        <v>292</v>
      </c>
      <c r="B148" s="4" t="s">
        <v>434</v>
      </c>
      <c r="C148">
        <v>2</v>
      </c>
      <c r="D148">
        <v>54.9</v>
      </c>
      <c r="F148">
        <v>1</v>
      </c>
      <c r="G148">
        <v>0.34</v>
      </c>
    </row>
    <row r="149" spans="1:7" x14ac:dyDescent="0.2">
      <c r="A149" s="3" t="s">
        <v>218</v>
      </c>
      <c r="B149" s="3" t="s">
        <v>435</v>
      </c>
      <c r="C149">
        <v>3</v>
      </c>
      <c r="D149">
        <v>29.1</v>
      </c>
      <c r="F149">
        <v>1</v>
      </c>
      <c r="G149">
        <v>0.05</v>
      </c>
    </row>
    <row r="150" spans="1:7" ht="112" x14ac:dyDescent="0.2">
      <c r="A150" s="9" t="s">
        <v>293</v>
      </c>
      <c r="B150" s="4" t="s">
        <v>436</v>
      </c>
      <c r="C150">
        <v>1</v>
      </c>
      <c r="D150">
        <v>28</v>
      </c>
      <c r="F150">
        <v>7</v>
      </c>
      <c r="G150">
        <v>0.63</v>
      </c>
    </row>
    <row r="151" spans="1:7" x14ac:dyDescent="0.2">
      <c r="A151" s="3" t="s">
        <v>294</v>
      </c>
      <c r="B151" s="3" t="s">
        <v>437</v>
      </c>
      <c r="C151" t="s">
        <v>439</v>
      </c>
      <c r="D151">
        <v>0.5</v>
      </c>
      <c r="F151">
        <v>8</v>
      </c>
      <c r="G151">
        <v>0.32</v>
      </c>
    </row>
    <row r="152" spans="1:7" x14ac:dyDescent="0.2">
      <c r="B152" s="4" t="s">
        <v>441</v>
      </c>
      <c r="C152">
        <f>COUNTIF(C1:C151, "&lt;=1")</f>
        <v>74</v>
      </c>
      <c r="D152">
        <f>74/159</f>
        <v>0.46540880503144655</v>
      </c>
      <c r="F152">
        <f>COUNTIF(F1:F151, "&lt;=1")</f>
        <v>90</v>
      </c>
      <c r="G152">
        <f>90/159</f>
        <v>0.56603773584905659</v>
      </c>
    </row>
    <row r="153" spans="1:7" x14ac:dyDescent="0.2">
      <c r="B153" s="3" t="s">
        <v>442</v>
      </c>
      <c r="C153">
        <f>COUNTIF(C1:C151, "&lt;=5")</f>
        <v>127</v>
      </c>
      <c r="D153">
        <f>127/159</f>
        <v>0.79874213836477992</v>
      </c>
      <c r="F153">
        <f>COUNTIF(F1:F151, "&lt;=5")</f>
        <v>125</v>
      </c>
      <c r="G153">
        <f>124/159</f>
        <v>0.77987421383647804</v>
      </c>
    </row>
    <row r="154" spans="1:7" x14ac:dyDescent="0.2">
      <c r="B154" s="4" t="s">
        <v>443</v>
      </c>
      <c r="C154">
        <f>COUNTIF(C1:C151, "&lt;=10")</f>
        <v>136</v>
      </c>
      <c r="F154">
        <f>COUNTIF(F1:F151, "&lt;=10")</f>
        <v>135</v>
      </c>
    </row>
    <row r="155" spans="1:7" x14ac:dyDescent="0.2">
      <c r="B155" s="3" t="s">
        <v>439</v>
      </c>
      <c r="C155">
        <f>COUNTIF(C1:C151, "=X")</f>
        <v>7</v>
      </c>
      <c r="F155">
        <f>COUNTIF(F1:F151, "=X")</f>
        <v>10</v>
      </c>
    </row>
    <row r="156" spans="1:7" x14ac:dyDescent="0.2">
      <c r="B156" s="4" t="s">
        <v>444</v>
      </c>
      <c r="C156">
        <f>COUNTIF(C1:C151, "&gt;10")</f>
        <v>8</v>
      </c>
      <c r="F156">
        <f>COUNTIF(F1:F151, "&gt;10")</f>
        <v>6</v>
      </c>
    </row>
    <row r="157" spans="1:7" x14ac:dyDescent="0.2">
      <c r="B157" s="3" t="s">
        <v>460</v>
      </c>
      <c r="C157">
        <f>MEDIAN(C1:C151)</f>
        <v>1</v>
      </c>
      <c r="F157">
        <f>MEDIAN(F1:F151)</f>
        <v>1</v>
      </c>
    </row>
    <row r="158" spans="1:7" x14ac:dyDescent="0.2">
      <c r="D158">
        <f>AVERAGE(D1:D151)</f>
        <v>32.401986754966892</v>
      </c>
      <c r="G158">
        <f>AVERAGE(G1:G151)</f>
        <v>0.16344370860927149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Sheet2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2020-07-17T16:51:33Z</dcterms:created>
  <dcterms:modified xsi:type="dcterms:W3CDTF">2020-08-29T15:28:19Z</dcterms:modified>
</cp:coreProperties>
</file>